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tte IJN" sheetId="1" state="visible" r:id="rId1"/>
    <sheet name="Synthèse" sheetId="2" state="visible" r:id="rId2"/>
    <sheet name="Légende" sheetId="3" state="visible" r:id="rId3"/>
  </sheets>
  <definedNames>
    <definedName name="_xlnm._FilterDatabase" localSheetId="0" hidden="1">'Flotte IJN'!$A$2:$Q$61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3A4D"/>
        <bgColor rgb="001F3A4D"/>
      </patternFill>
    </fill>
    <fill>
      <patternFill patternType="solid">
        <fgColor rgb="002E5A73"/>
        <bgColor rgb="002E5A73"/>
      </patternFill>
    </fill>
    <fill>
      <patternFill patternType="solid">
        <fgColor rgb="00B5502F"/>
        <bgColor rgb="00B5502F"/>
      </patternFill>
    </fill>
    <fill>
      <patternFill patternType="solid">
        <fgColor rgb="006B6B6B"/>
        <bgColor rgb="006B6B6B"/>
      </patternFill>
    </fill>
    <fill>
      <patternFill patternType="solid">
        <fgColor rgb="00E7ECEF"/>
        <bgColor rgb="00E7ECEF"/>
      </patternFill>
    </fill>
    <fill>
      <patternFill patternType="solid">
        <fgColor rgb="00FBE5D6"/>
        <bgColor rgb="00FBE5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19" customWidth="1" min="4" max="4"/>
    <col width="5" customWidth="1" min="5" max="5"/>
    <col width="11" customWidth="1" min="6" max="6"/>
    <col width="9" customWidth="1" min="7" max="7"/>
    <col width="10" customWidth="1" min="8" max="8"/>
    <col width="11" customWidth="1" min="9" max="9"/>
    <col width="14" customWidth="1" min="10" max="10"/>
    <col width="9" customWidth="1" min="11" max="11"/>
    <col width="10" customWidth="1" min="12" max="12"/>
    <col width="11" customWidth="1" min="13" max="13"/>
    <col width="16" customWidth="1" min="14" max="14"/>
    <col width="9" customWidth="1" min="15" max="15"/>
    <col width="10" customWidth="1" min="16" max="16"/>
    <col width="11" customWidth="1" min="17" max="17"/>
  </cols>
  <sheetData>
    <row r="1">
      <c r="A1" s="1" t="inlineStr">
        <is>
          <t>Navire</t>
        </is>
      </c>
      <c r="B1" s="22" t="n"/>
      <c r="C1" s="22" t="n"/>
      <c r="D1" s="22" t="n"/>
      <c r="E1" s="22" t="n"/>
      <c r="F1" s="23" t="n"/>
      <c r="G1" s="3" t="inlineStr">
        <is>
          <t>Indemne</t>
        </is>
      </c>
      <c r="H1" s="22" t="n"/>
      <c r="I1" s="22" t="n"/>
      <c r="J1" s="23" t="n"/>
      <c r="K1" s="5" t="inlineStr">
        <is>
          <t>Dommages significatifs</t>
        </is>
      </c>
      <c r="L1" s="22" t="n"/>
      <c r="M1" s="22" t="n"/>
      <c r="N1" s="23" t="n"/>
      <c r="O1" s="7" t="inlineStr">
        <is>
          <t>Écart (endommagé − indemne)</t>
        </is>
      </c>
      <c r="P1" s="22" t="n"/>
      <c r="Q1" s="23" t="n"/>
    </row>
    <row r="2" ht="30" customHeight="1">
      <c r="A2" s="9" t="inlineStr">
        <is>
          <t>Navire</t>
        </is>
      </c>
      <c r="B2" s="9" t="inlineStr">
        <is>
          <t>Nom japonais</t>
        </is>
      </c>
      <c r="C2" s="9" t="inlineStr">
        <is>
          <t>Type</t>
        </is>
      </c>
      <c r="D2" s="9" t="inlineStr">
        <is>
          <t>Type (libellé)</t>
        </is>
      </c>
      <c r="E2" s="9" t="inlineStr">
        <is>
          <t>⊗</t>
        </is>
      </c>
      <c r="F2" s="9" t="inlineStr">
        <is>
          <t>Carrier/Base</t>
        </is>
      </c>
      <c r="G2" s="9" t="inlineStr">
        <is>
          <t>Anti-air</t>
        </is>
      </c>
      <c r="H2" s="9" t="inlineStr">
        <is>
          <t>Durabilité</t>
        </is>
      </c>
      <c r="I2" s="9" t="inlineStr">
        <is>
          <t>Puissance de feu</t>
        </is>
      </c>
      <c r="J2" s="9" t="inlineStr">
        <is>
          <t>Fichier</t>
        </is>
      </c>
      <c r="K2" s="9" t="inlineStr">
        <is>
          <t>Anti-air</t>
        </is>
      </c>
      <c r="L2" s="9" t="inlineStr">
        <is>
          <t>Durabilité</t>
        </is>
      </c>
      <c r="M2" s="9" t="inlineStr">
        <is>
          <t>Puissance de feu</t>
        </is>
      </c>
      <c r="N2" s="9" t="inlineStr">
        <is>
          <t>Fichier</t>
        </is>
      </c>
      <c r="O2" s="9" t="inlineStr">
        <is>
          <t>Anti-air</t>
        </is>
      </c>
      <c r="P2" s="9" t="inlineStr">
        <is>
          <t>Durabilité</t>
        </is>
      </c>
      <c r="Q2" s="9" t="inlineStr">
        <is>
          <t>Puissance de feu</t>
        </is>
      </c>
    </row>
    <row r="3">
      <c r="A3" s="10" t="inlineStr">
        <is>
          <t>AKAGI</t>
        </is>
      </c>
      <c r="B3" s="11" t="inlineStr">
        <is>
          <t>赤城</t>
        </is>
      </c>
      <c r="C3" s="12" t="inlineStr">
        <is>
          <t>CV</t>
        </is>
      </c>
      <c r="D3" s="11" t="inlineStr">
        <is>
          <t>Porte-avions</t>
        </is>
      </c>
      <c r="E3" s="12" t="n"/>
      <c r="F3" s="12" t="inlineStr">
        <is>
          <t>AKA</t>
        </is>
      </c>
      <c r="G3" s="12" t="n">
        <v>3</v>
      </c>
      <c r="H3" s="12" t="n">
        <v>5</v>
      </c>
      <c r="I3" s="12" t="n">
        <v>0</v>
      </c>
      <c r="J3" s="11" t="inlineStr">
        <is>
          <t>CF4 (9).png</t>
        </is>
      </c>
      <c r="K3" s="12" t="n">
        <v>2</v>
      </c>
      <c r="L3" s="12" t="n">
        <v>4</v>
      </c>
      <c r="M3" s="12" t="n">
        <v>0</v>
      </c>
      <c r="N3" s="11" t="inlineStr">
        <is>
          <t>CB4 (13).png</t>
        </is>
      </c>
      <c r="O3" s="13">
        <f>IF(K3="","",IFERROR(K3-G3,"—"))</f>
        <v/>
      </c>
      <c r="P3" s="13">
        <f>IF(L3="","",IFERROR(L3-H3,"—"))</f>
        <v/>
      </c>
      <c r="Q3" s="13">
        <f>IF(M3="","",IFERROR(M3-I3,"—"))</f>
        <v/>
      </c>
    </row>
    <row r="4">
      <c r="A4" s="10" t="inlineStr">
        <is>
          <t>HIRYŪ</t>
        </is>
      </c>
      <c r="B4" s="11" t="inlineStr">
        <is>
          <t>飛龍</t>
        </is>
      </c>
      <c r="C4" s="12" t="inlineStr">
        <is>
          <t>CV</t>
        </is>
      </c>
      <c r="D4" s="11" t="inlineStr">
        <is>
          <t>Porte-avions</t>
        </is>
      </c>
      <c r="E4" s="12" t="n"/>
      <c r="F4" s="12" t="inlineStr">
        <is>
          <t>HIR</t>
        </is>
      </c>
      <c r="G4" s="12" t="n">
        <v>3</v>
      </c>
      <c r="H4" s="12" t="n">
        <v>4</v>
      </c>
      <c r="I4" s="12" t="n">
        <v>0</v>
      </c>
      <c r="J4" s="11" t="inlineStr">
        <is>
          <t>CF4 (10).png</t>
        </is>
      </c>
      <c r="K4" s="12" t="n">
        <v>2</v>
      </c>
      <c r="L4" s="12" t="n">
        <v>4</v>
      </c>
      <c r="M4" s="12" t="n">
        <v>0</v>
      </c>
      <c r="N4" s="11" t="inlineStr">
        <is>
          <t>CB4 (12).png</t>
        </is>
      </c>
      <c r="O4" s="13">
        <f>IF(K4="","",IFERROR(K4-G4,"—"))</f>
        <v/>
      </c>
      <c r="P4" s="13">
        <f>IF(L4="","",IFERROR(L4-H4,"—"))</f>
        <v/>
      </c>
      <c r="Q4" s="13">
        <f>IF(M4="","",IFERROR(M4-I4,"—"))</f>
        <v/>
      </c>
    </row>
    <row r="5">
      <c r="A5" s="10" t="inlineStr">
        <is>
          <t>KAGA</t>
        </is>
      </c>
      <c r="B5" s="11" t="inlineStr">
        <is>
          <t>加賀</t>
        </is>
      </c>
      <c r="C5" s="12" t="inlineStr">
        <is>
          <t>CV</t>
        </is>
      </c>
      <c r="D5" s="11" t="inlineStr">
        <is>
          <t>Porte-avions</t>
        </is>
      </c>
      <c r="E5" s="12" t="n"/>
      <c r="F5" s="12" t="inlineStr">
        <is>
          <t>KA</t>
        </is>
      </c>
      <c r="G5" s="12" t="n">
        <v>3</v>
      </c>
      <c r="H5" s="12" t="n">
        <v>5</v>
      </c>
      <c r="I5" s="12" t="n">
        <v>0</v>
      </c>
      <c r="J5" s="11" t="inlineStr">
        <is>
          <t>CF4 (11).png</t>
        </is>
      </c>
      <c r="K5" s="12" t="n">
        <v>2</v>
      </c>
      <c r="L5" s="12" t="n">
        <v>4</v>
      </c>
      <c r="M5" s="12" t="n">
        <v>0</v>
      </c>
      <c r="N5" s="11" t="inlineStr">
        <is>
          <t>CB4 (11).png</t>
        </is>
      </c>
      <c r="O5" s="13">
        <f>IF(K5="","",IFERROR(K5-G5,"—"))</f>
        <v/>
      </c>
      <c r="P5" s="13">
        <f>IF(L5="","",IFERROR(L5-H5,"—"))</f>
        <v/>
      </c>
      <c r="Q5" s="13">
        <f>IF(M5="","",IFERROR(M5-I5,"—"))</f>
        <v/>
      </c>
    </row>
    <row r="6">
      <c r="A6" s="10" t="inlineStr">
        <is>
          <t>SHŌKAKU</t>
        </is>
      </c>
      <c r="B6" s="11" t="inlineStr">
        <is>
          <t>翔鶴</t>
        </is>
      </c>
      <c r="C6" s="12" t="inlineStr">
        <is>
          <t>CV</t>
        </is>
      </c>
      <c r="D6" s="11" t="inlineStr">
        <is>
          <t>Porte-avions</t>
        </is>
      </c>
      <c r="E6" s="12" t="n"/>
      <c r="F6" s="12" t="inlineStr">
        <is>
          <t>SHO</t>
        </is>
      </c>
      <c r="G6" s="12" t="n">
        <v>3</v>
      </c>
      <c r="H6" s="12" t="n">
        <v>4</v>
      </c>
      <c r="I6" s="12" t="n">
        <v>0</v>
      </c>
      <c r="J6" s="11" t="inlineStr">
        <is>
          <t>CF4 (12).png</t>
        </is>
      </c>
      <c r="K6" s="12" t="n">
        <v>3</v>
      </c>
      <c r="L6" s="12" t="n">
        <v>4</v>
      </c>
      <c r="M6" s="12" t="n">
        <v>0</v>
      </c>
      <c r="N6" s="11" t="inlineStr">
        <is>
          <t>CB4 (10).png</t>
        </is>
      </c>
      <c r="O6" s="13">
        <f>IF(K6="","",IFERROR(K6-G6,"—"))</f>
        <v/>
      </c>
      <c r="P6" s="13">
        <f>IF(L6="","",IFERROR(L6-H6,"—"))</f>
        <v/>
      </c>
      <c r="Q6" s="13">
        <f>IF(M6="","",IFERROR(M6-I6,"—"))</f>
        <v/>
      </c>
    </row>
    <row r="7">
      <c r="A7" s="10" t="inlineStr">
        <is>
          <t>SŌRYŪ</t>
        </is>
      </c>
      <c r="B7" s="11" t="inlineStr">
        <is>
          <t>蒼龍</t>
        </is>
      </c>
      <c r="C7" s="12" t="inlineStr">
        <is>
          <t>CV</t>
        </is>
      </c>
      <c r="D7" s="11" t="inlineStr">
        <is>
          <t>Porte-avions</t>
        </is>
      </c>
      <c r="E7" s="12" t="n"/>
      <c r="F7" s="12" t="inlineStr">
        <is>
          <t>SOR</t>
        </is>
      </c>
      <c r="G7" s="12" t="n">
        <v>3</v>
      </c>
      <c r="H7" s="12" t="n">
        <v>4</v>
      </c>
      <c r="I7" s="12" t="n">
        <v>0</v>
      </c>
      <c r="J7" s="11" t="inlineStr">
        <is>
          <t>CF4 (13).png</t>
        </is>
      </c>
      <c r="K7" s="12" t="n">
        <v>2</v>
      </c>
      <c r="L7" s="12" t="n">
        <v>3</v>
      </c>
      <c r="M7" s="12" t="n">
        <v>0</v>
      </c>
      <c r="N7" s="11" t="inlineStr">
        <is>
          <t>CB4 (9).png</t>
        </is>
      </c>
      <c r="O7" s="13">
        <f>IF(K7="","",IFERROR(K7-G7,"—"))</f>
        <v/>
      </c>
      <c r="P7" s="13">
        <f>IF(L7="","",IFERROR(L7-H7,"—"))</f>
        <v/>
      </c>
      <c r="Q7" s="13">
        <f>IF(M7="","",IFERROR(M7-I7,"—"))</f>
        <v/>
      </c>
    </row>
    <row r="8">
      <c r="A8" s="10" t="inlineStr">
        <is>
          <t>ZUIKAKU</t>
        </is>
      </c>
      <c r="B8" s="11" t="inlineStr">
        <is>
          <t>瑞鶴</t>
        </is>
      </c>
      <c r="C8" s="12" t="inlineStr">
        <is>
          <t>CV</t>
        </is>
      </c>
      <c r="D8" s="11" t="inlineStr">
        <is>
          <t>Porte-avions</t>
        </is>
      </c>
      <c r="E8" s="12" t="n"/>
      <c r="F8" s="12" t="inlineStr">
        <is>
          <t>ZUI</t>
        </is>
      </c>
      <c r="G8" s="12" t="n">
        <v>3</v>
      </c>
      <c r="H8" s="12" t="n">
        <v>4</v>
      </c>
      <c r="I8" s="12" t="n">
        <v>0</v>
      </c>
      <c r="J8" s="11" t="inlineStr">
        <is>
          <t>CF4 (14).png</t>
        </is>
      </c>
      <c r="K8" s="12" t="n">
        <v>3</v>
      </c>
      <c r="L8" s="12" t="n">
        <v>4</v>
      </c>
      <c r="M8" s="12" t="n">
        <v>0</v>
      </c>
      <c r="N8" s="11" t="inlineStr">
        <is>
          <t>CB4 (8).png</t>
        </is>
      </c>
      <c r="O8" s="13">
        <f>IF(K8="","",IFERROR(K8-G8,"—"))</f>
        <v/>
      </c>
      <c r="P8" s="13">
        <f>IF(L8="","",IFERROR(L8-H8,"—"))</f>
        <v/>
      </c>
      <c r="Q8" s="13">
        <f>IF(M8="","",IFERROR(M8-I8,"—"))</f>
        <v/>
      </c>
    </row>
    <row r="9">
      <c r="A9" s="10" t="inlineStr">
        <is>
          <t>HIYŌ</t>
        </is>
      </c>
      <c r="B9" s="11" t="inlineStr">
        <is>
          <t>飛鷹</t>
        </is>
      </c>
      <c r="C9" s="12" t="inlineStr">
        <is>
          <t>CVL</t>
        </is>
      </c>
      <c r="D9" s="11" t="inlineStr">
        <is>
          <t>Porte-avions léger</t>
        </is>
      </c>
      <c r="E9" s="12" t="n"/>
      <c r="F9" s="12" t="n"/>
      <c r="G9" s="12" t="n">
        <v>3</v>
      </c>
      <c r="H9" s="12" t="n">
        <v>3</v>
      </c>
      <c r="I9" s="12" t="n">
        <v>0</v>
      </c>
      <c r="J9" s="11" t="inlineStr">
        <is>
          <t>CF4 (15).png</t>
        </is>
      </c>
      <c r="K9" s="12" t="n">
        <v>2</v>
      </c>
      <c r="L9" s="12" t="n">
        <v>3</v>
      </c>
      <c r="M9" s="12" t="n">
        <v>0</v>
      </c>
      <c r="N9" s="11" t="inlineStr">
        <is>
          <t>CB4 (21).png</t>
        </is>
      </c>
      <c r="O9" s="13">
        <f>IF(K9="","",IFERROR(K9-G9,"—"))</f>
        <v/>
      </c>
      <c r="P9" s="13">
        <f>IF(L9="","",IFERROR(L9-H9,"—"))</f>
        <v/>
      </c>
      <c r="Q9" s="13">
        <f>IF(M9="","",IFERROR(M9-I9,"—"))</f>
        <v/>
      </c>
    </row>
    <row r="10">
      <c r="A10" s="10" t="inlineStr">
        <is>
          <t>JUN'YŌ</t>
        </is>
      </c>
      <c r="B10" s="11" t="inlineStr">
        <is>
          <t>隼鷹</t>
        </is>
      </c>
      <c r="C10" s="12" t="inlineStr">
        <is>
          <t>CVL</t>
        </is>
      </c>
      <c r="D10" s="11" t="inlineStr">
        <is>
          <t>Porte-avions léger</t>
        </is>
      </c>
      <c r="E10" s="12" t="n"/>
      <c r="F10" s="12" t="n"/>
      <c r="G10" s="12" t="n">
        <v>3</v>
      </c>
      <c r="H10" s="12" t="n">
        <v>3</v>
      </c>
      <c r="I10" s="12" t="n">
        <v>0</v>
      </c>
      <c r="J10" s="11" t="inlineStr">
        <is>
          <t>CF4 (16).png</t>
        </is>
      </c>
      <c r="K10" s="12" t="n">
        <v>2</v>
      </c>
      <c r="L10" s="12" t="n">
        <v>3</v>
      </c>
      <c r="M10" s="12" t="n">
        <v>0</v>
      </c>
      <c r="N10" s="11" t="inlineStr">
        <is>
          <t>CB4 (20).png</t>
        </is>
      </c>
      <c r="O10" s="13">
        <f>IF(K10="","",IFERROR(K10-G10,"—"))</f>
        <v/>
      </c>
      <c r="P10" s="13">
        <f>IF(L10="","",IFERROR(L10-H10,"—"))</f>
        <v/>
      </c>
      <c r="Q10" s="13">
        <f>IF(M10="","",IFERROR(M10-I10,"—"))</f>
        <v/>
      </c>
    </row>
    <row r="11">
      <c r="A11" s="10" t="inlineStr">
        <is>
          <t>RYŪJŌ</t>
        </is>
      </c>
      <c r="B11" s="11" t="inlineStr">
        <is>
          <t>龍驤</t>
        </is>
      </c>
      <c r="C11" s="12" t="inlineStr">
        <is>
          <t>CVL</t>
        </is>
      </c>
      <c r="D11" s="11" t="inlineStr">
        <is>
          <t>Porte-avions léger</t>
        </is>
      </c>
      <c r="E11" s="12" t="n"/>
      <c r="F11" s="12" t="n"/>
      <c r="G11" s="12" t="n">
        <v>3</v>
      </c>
      <c r="H11" s="12" t="n">
        <v>3</v>
      </c>
      <c r="I11" s="12" t="n">
        <v>0</v>
      </c>
      <c r="J11" s="11" t="inlineStr">
        <is>
          <t>CF4 (17).png</t>
        </is>
      </c>
      <c r="K11" s="12" t="n">
        <v>2</v>
      </c>
      <c r="L11" s="12" t="n">
        <v>2</v>
      </c>
      <c r="M11" s="12" t="n">
        <v>0</v>
      </c>
      <c r="N11" s="11" t="inlineStr">
        <is>
          <t>CB4 (19).png</t>
        </is>
      </c>
      <c r="O11" s="13">
        <f>IF(K11="","",IFERROR(K11-G11,"—"))</f>
        <v/>
      </c>
      <c r="P11" s="13">
        <f>IF(L11="","",IFERROR(L11-H11,"—"))</f>
        <v/>
      </c>
      <c r="Q11" s="13">
        <f>IF(M11="","",IFERROR(M11-I11,"—"))</f>
        <v/>
      </c>
    </row>
    <row r="12">
      <c r="A12" s="10" t="inlineStr">
        <is>
          <t>SHŌHŌ</t>
        </is>
      </c>
      <c r="B12" s="11" t="inlineStr">
        <is>
          <t>祥鳳</t>
        </is>
      </c>
      <c r="C12" s="12" t="inlineStr">
        <is>
          <t>CVL</t>
        </is>
      </c>
      <c r="D12" s="11" t="inlineStr">
        <is>
          <t>Porte-avions léger</t>
        </is>
      </c>
      <c r="E12" s="12" t="n"/>
      <c r="F12" s="12" t="n"/>
      <c r="G12" s="12" t="n">
        <v>3</v>
      </c>
      <c r="H12" s="12" t="n">
        <v>3</v>
      </c>
      <c r="I12" s="12" t="n">
        <v>0</v>
      </c>
      <c r="J12" s="11" t="inlineStr">
        <is>
          <t>CF4 (18).png</t>
        </is>
      </c>
      <c r="K12" s="12" t="n">
        <v>2</v>
      </c>
      <c r="L12" s="12" t="n">
        <v>2</v>
      </c>
      <c r="M12" s="12" t="n">
        <v>0</v>
      </c>
      <c r="N12" s="11" t="inlineStr">
        <is>
          <t>CB4 (18).png</t>
        </is>
      </c>
      <c r="O12" s="13">
        <f>IF(K12="","",IFERROR(K12-G12,"—"))</f>
        <v/>
      </c>
      <c r="P12" s="13">
        <f>IF(L12="","",IFERROR(L12-H12,"—"))</f>
        <v/>
      </c>
      <c r="Q12" s="13">
        <f>IF(M12="","",IFERROR(M12-I12,"—"))</f>
        <v/>
      </c>
    </row>
    <row r="13">
      <c r="A13" s="10" t="inlineStr">
        <is>
          <t>UN'YŌ</t>
        </is>
      </c>
      <c r="B13" s="11" t="inlineStr">
        <is>
          <t>雲鷹</t>
        </is>
      </c>
      <c r="C13" s="12" t="inlineStr">
        <is>
          <t>CVL</t>
        </is>
      </c>
      <c r="D13" s="11" t="inlineStr">
        <is>
          <t>Porte-avions léger</t>
        </is>
      </c>
      <c r="E13" s="12" t="n"/>
      <c r="F13" s="12" t="n"/>
      <c r="G13" s="12" t="n">
        <v>3</v>
      </c>
      <c r="H13" s="12" t="n">
        <v>3</v>
      </c>
      <c r="I13" s="12" t="n">
        <v>0</v>
      </c>
      <c r="J13" s="11" t="inlineStr">
        <is>
          <t>CF4 (19).png</t>
        </is>
      </c>
      <c r="K13" s="12" t="n">
        <v>1</v>
      </c>
      <c r="L13" s="12" t="n">
        <v>2</v>
      </c>
      <c r="M13" s="12" t="n">
        <v>0</v>
      </c>
      <c r="N13" s="11" t="inlineStr">
        <is>
          <t>CB4 (17).png</t>
        </is>
      </c>
      <c r="O13" s="13">
        <f>IF(K13="","",IFERROR(K13-G13,"—"))</f>
        <v/>
      </c>
      <c r="P13" s="13">
        <f>IF(L13="","",IFERROR(L13-H13,"—"))</f>
        <v/>
      </c>
      <c r="Q13" s="13">
        <f>IF(M13="","",IFERROR(M13-I13,"—"))</f>
        <v/>
      </c>
    </row>
    <row r="14">
      <c r="A14" s="10" t="inlineStr">
        <is>
          <t>ZUIHŌ</t>
        </is>
      </c>
      <c r="B14" s="11" t="inlineStr">
        <is>
          <t>瑞鳳</t>
        </is>
      </c>
      <c r="C14" s="12" t="inlineStr">
        <is>
          <t>CVL</t>
        </is>
      </c>
      <c r="D14" s="11" t="inlineStr">
        <is>
          <t>Porte-avions léger</t>
        </is>
      </c>
      <c r="E14" s="12" t="n"/>
      <c r="F14" s="12" t="n"/>
      <c r="G14" s="12" t="n">
        <v>3</v>
      </c>
      <c r="H14" s="12" t="n">
        <v>3</v>
      </c>
      <c r="I14" s="12" t="n">
        <v>0</v>
      </c>
      <c r="J14" s="11" t="inlineStr">
        <is>
          <t>CF4 (20).png</t>
        </is>
      </c>
      <c r="K14" s="12" t="n">
        <v>2</v>
      </c>
      <c r="L14" s="12" t="n">
        <v>2</v>
      </c>
      <c r="M14" s="12" t="n">
        <v>0</v>
      </c>
      <c r="N14" s="11" t="inlineStr">
        <is>
          <t>CB4 (16).png</t>
        </is>
      </c>
      <c r="O14" s="13">
        <f>IF(K14="","",IFERROR(K14-G14,"—"))</f>
        <v/>
      </c>
      <c r="P14" s="13">
        <f>IF(L14="","",IFERROR(L14-H14,"—"))</f>
        <v/>
      </c>
      <c r="Q14" s="13">
        <f>IF(M14="","",IFERROR(M14-I14,"—"))</f>
        <v/>
      </c>
    </row>
    <row r="15">
      <c r="A15" s="10" t="inlineStr">
        <is>
          <t>FUSŌ</t>
        </is>
      </c>
      <c r="B15" s="11" t="inlineStr">
        <is>
          <t>扶桑</t>
        </is>
      </c>
      <c r="C15" s="12" t="inlineStr">
        <is>
          <t>BB</t>
        </is>
      </c>
      <c r="D15" s="11" t="inlineStr">
        <is>
          <t>Cuirassé</t>
        </is>
      </c>
      <c r="E15" s="12" t="inlineStr">
        <is>
          <t>⊗</t>
        </is>
      </c>
      <c r="F15" s="12" t="n"/>
      <c r="G15" s="12" t="n">
        <v>3</v>
      </c>
      <c r="H15" s="12" t="n">
        <v>7</v>
      </c>
      <c r="I15" s="12" t="n">
        <v>9</v>
      </c>
      <c r="J15" s="11" t="inlineStr">
        <is>
          <t>CF4 (21).png</t>
        </is>
      </c>
      <c r="K15" s="12" t="n">
        <v>2</v>
      </c>
      <c r="L15" s="12" t="n">
        <v>7</v>
      </c>
      <c r="M15" s="12" t="n">
        <v>7</v>
      </c>
      <c r="N15" s="11" t="inlineStr">
        <is>
          <t>CB4 (15).png</t>
        </is>
      </c>
      <c r="O15" s="13">
        <f>IF(K15="","",IFERROR(K15-G15,"—"))</f>
        <v/>
      </c>
      <c r="P15" s="13">
        <f>IF(L15="","",IFERROR(L15-H15,"—"))</f>
        <v/>
      </c>
      <c r="Q15" s="13">
        <f>IF(M15="","",IFERROR(M15-I15,"—"))</f>
        <v/>
      </c>
    </row>
    <row r="16">
      <c r="A16" s="10" t="inlineStr">
        <is>
          <t>HARUNA</t>
        </is>
      </c>
      <c r="B16" s="11" t="inlineStr">
        <is>
          <t>榛名</t>
        </is>
      </c>
      <c r="C16" s="12" t="inlineStr">
        <is>
          <t>BB</t>
        </is>
      </c>
      <c r="D16" s="11" t="inlineStr">
        <is>
          <t>Cuirassé</t>
        </is>
      </c>
      <c r="E16" s="12" t="n"/>
      <c r="F16" s="12" t="n"/>
      <c r="G16" s="12" t="n">
        <v>3</v>
      </c>
      <c r="H16" s="12" t="n">
        <v>7</v>
      </c>
      <c r="I16" s="12" t="n">
        <v>8</v>
      </c>
      <c r="J16" s="11" t="inlineStr">
        <is>
          <t>CF4 (22).png</t>
        </is>
      </c>
      <c r="K16" s="12" t="n">
        <v>2</v>
      </c>
      <c r="L16" s="12" t="n">
        <v>7</v>
      </c>
      <c r="M16" s="12" t="n">
        <v>7</v>
      </c>
      <c r="N16" s="11" t="inlineStr">
        <is>
          <t>CB4 (28).png</t>
        </is>
      </c>
      <c r="O16" s="13">
        <f>IF(K16="","",IFERROR(K16-G16,"—"))</f>
        <v/>
      </c>
      <c r="P16" s="13">
        <f>IF(L16="","",IFERROR(L16-H16,"—"))</f>
        <v/>
      </c>
      <c r="Q16" s="13">
        <f>IF(M16="","",IFERROR(M16-I16,"—"))</f>
        <v/>
      </c>
    </row>
    <row r="17">
      <c r="A17" s="10" t="inlineStr">
        <is>
          <t>HIEI</t>
        </is>
      </c>
      <c r="B17" s="11" t="inlineStr">
        <is>
          <t>比叡</t>
        </is>
      </c>
      <c r="C17" s="12" t="inlineStr">
        <is>
          <t>BB</t>
        </is>
      </c>
      <c r="D17" s="11" t="inlineStr">
        <is>
          <t>Cuirassé</t>
        </is>
      </c>
      <c r="E17" s="12" t="n"/>
      <c r="F17" s="12" t="n"/>
      <c r="G17" s="12" t="n">
        <v>3</v>
      </c>
      <c r="H17" s="12" t="n">
        <v>7</v>
      </c>
      <c r="I17" s="12" t="n">
        <v>8</v>
      </c>
      <c r="J17" s="11" t="inlineStr">
        <is>
          <t>CF4 (23).png</t>
        </is>
      </c>
      <c r="K17" s="12" t="n">
        <v>2</v>
      </c>
      <c r="L17" s="12" t="n">
        <v>7</v>
      </c>
      <c r="M17" s="12" t="n">
        <v>7</v>
      </c>
      <c r="N17" s="11" t="inlineStr">
        <is>
          <t>CB4 (27).png</t>
        </is>
      </c>
      <c r="O17" s="13">
        <f>IF(K17="","",IFERROR(K17-G17,"—"))</f>
        <v/>
      </c>
      <c r="P17" s="13">
        <f>IF(L17="","",IFERROR(L17-H17,"—"))</f>
        <v/>
      </c>
      <c r="Q17" s="13">
        <f>IF(M17="","",IFERROR(M17-I17,"—"))</f>
        <v/>
      </c>
    </row>
    <row r="18">
      <c r="A18" s="10" t="inlineStr">
        <is>
          <t>HYŪGA</t>
        </is>
      </c>
      <c r="B18" s="11" t="inlineStr">
        <is>
          <t>日向</t>
        </is>
      </c>
      <c r="C18" s="12" t="inlineStr">
        <is>
          <t>BB</t>
        </is>
      </c>
      <c r="D18" s="11" t="inlineStr">
        <is>
          <t>Cuirassé</t>
        </is>
      </c>
      <c r="E18" s="12" t="inlineStr">
        <is>
          <t>⊗</t>
        </is>
      </c>
      <c r="F18" s="12" t="n"/>
      <c r="G18" s="12" t="n">
        <v>3</v>
      </c>
      <c r="H18" s="12" t="n">
        <v>8</v>
      </c>
      <c r="I18" s="12" t="n">
        <v>9</v>
      </c>
      <c r="J18" s="11" t="inlineStr">
        <is>
          <t>CF4 (24).png</t>
        </is>
      </c>
      <c r="K18" s="12" t="n">
        <v>2</v>
      </c>
      <c r="L18" s="12" t="n">
        <v>7</v>
      </c>
      <c r="M18" s="12" t="n">
        <v>7</v>
      </c>
      <c r="N18" s="11" t="inlineStr">
        <is>
          <t>CB4 (26).png</t>
        </is>
      </c>
      <c r="O18" s="13">
        <f>IF(K18="","",IFERROR(K18-G18,"—"))</f>
        <v/>
      </c>
      <c r="P18" s="13">
        <f>IF(L18="","",IFERROR(L18-H18,"—"))</f>
        <v/>
      </c>
      <c r="Q18" s="13">
        <f>IF(M18="","",IFERROR(M18-I18,"—"))</f>
        <v/>
      </c>
    </row>
    <row r="19">
      <c r="A19" s="10" t="inlineStr">
        <is>
          <t>ISE</t>
        </is>
      </c>
      <c r="B19" s="11" t="inlineStr">
        <is>
          <t>伊勢</t>
        </is>
      </c>
      <c r="C19" s="12" t="inlineStr">
        <is>
          <t>BB</t>
        </is>
      </c>
      <c r="D19" s="11" t="inlineStr">
        <is>
          <t>Cuirassé</t>
        </is>
      </c>
      <c r="E19" s="12" t="inlineStr">
        <is>
          <t>⊗</t>
        </is>
      </c>
      <c r="F19" s="12" t="n"/>
      <c r="G19" s="12" t="n">
        <v>3</v>
      </c>
      <c r="H19" s="12" t="n">
        <v>8</v>
      </c>
      <c r="I19" s="12" t="n">
        <v>9</v>
      </c>
      <c r="J19" s="11" t="inlineStr">
        <is>
          <t>CF4 (25).png</t>
        </is>
      </c>
      <c r="K19" s="12" t="n">
        <v>2</v>
      </c>
      <c r="L19" s="12" t="n">
        <v>7</v>
      </c>
      <c r="M19" s="12" t="n">
        <v>7</v>
      </c>
      <c r="N19" s="11" t="inlineStr">
        <is>
          <t>CB4 (25).png</t>
        </is>
      </c>
      <c r="O19" s="13">
        <f>IF(K19="","",IFERROR(K19-G19,"—"))</f>
        <v/>
      </c>
      <c r="P19" s="13">
        <f>IF(L19="","",IFERROR(L19-H19,"—"))</f>
        <v/>
      </c>
      <c r="Q19" s="13">
        <f>IF(M19="","",IFERROR(M19-I19,"—"))</f>
        <v/>
      </c>
    </row>
    <row r="20">
      <c r="A20" s="10" t="inlineStr">
        <is>
          <t>KIRISHIMA</t>
        </is>
      </c>
      <c r="B20" s="11" t="inlineStr">
        <is>
          <t>霧島</t>
        </is>
      </c>
      <c r="C20" s="12" t="inlineStr">
        <is>
          <t>BB</t>
        </is>
      </c>
      <c r="D20" s="11" t="inlineStr">
        <is>
          <t>Cuirassé</t>
        </is>
      </c>
      <c r="E20" s="12" t="n"/>
      <c r="F20" s="12" t="n"/>
      <c r="G20" s="12" t="n">
        <v>3</v>
      </c>
      <c r="H20" s="12" t="n">
        <v>7</v>
      </c>
      <c r="I20" s="12" t="n">
        <v>8</v>
      </c>
      <c r="J20" s="11" t="inlineStr">
        <is>
          <t>CF4 (26).png</t>
        </is>
      </c>
      <c r="K20" s="12" t="n">
        <v>2</v>
      </c>
      <c r="L20" s="12" t="n">
        <v>7</v>
      </c>
      <c r="M20" s="12" t="n">
        <v>7</v>
      </c>
      <c r="N20" s="11" t="inlineStr">
        <is>
          <t>CB4 (24).png</t>
        </is>
      </c>
      <c r="O20" s="13">
        <f>IF(K20="","",IFERROR(K20-G20,"—"))</f>
        <v/>
      </c>
      <c r="P20" s="13">
        <f>IF(L20="","",IFERROR(L20-H20,"—"))</f>
        <v/>
      </c>
      <c r="Q20" s="13">
        <f>IF(M20="","",IFERROR(M20-I20,"—"))</f>
        <v/>
      </c>
    </row>
    <row r="21">
      <c r="A21" s="10" t="inlineStr">
        <is>
          <t>KONGŌ</t>
        </is>
      </c>
      <c r="B21" s="11" t="inlineStr">
        <is>
          <t>金剛</t>
        </is>
      </c>
      <c r="C21" s="12" t="inlineStr">
        <is>
          <t>BB</t>
        </is>
      </c>
      <c r="D21" s="11" t="inlineStr">
        <is>
          <t>Cuirassé</t>
        </is>
      </c>
      <c r="E21" s="12" t="n"/>
      <c r="F21" s="12" t="n"/>
      <c r="G21" s="12" t="n">
        <v>3</v>
      </c>
      <c r="H21" s="12" t="n">
        <v>7</v>
      </c>
      <c r="I21" s="12" t="n">
        <v>8</v>
      </c>
      <c r="J21" s="11" t="inlineStr">
        <is>
          <t>CF4 (27).png</t>
        </is>
      </c>
      <c r="K21" s="12" t="n">
        <v>2</v>
      </c>
      <c r="L21" s="12" t="n">
        <v>7</v>
      </c>
      <c r="M21" s="12" t="n">
        <v>7</v>
      </c>
      <c r="N21" s="11" t="inlineStr">
        <is>
          <t>CB4 (23).png</t>
        </is>
      </c>
      <c r="O21" s="13">
        <f>IF(K21="","",IFERROR(K21-G21,"—"))</f>
        <v/>
      </c>
      <c r="P21" s="13">
        <f>IF(L21="","",IFERROR(L21-H21,"—"))</f>
        <v/>
      </c>
      <c r="Q21" s="13">
        <f>IF(M21="","",IFERROR(M21-I21,"—"))</f>
        <v/>
      </c>
    </row>
    <row r="22">
      <c r="A22" s="10" t="inlineStr">
        <is>
          <t>MUSASHI</t>
        </is>
      </c>
      <c r="B22" s="11" t="inlineStr">
        <is>
          <t>武蔵</t>
        </is>
      </c>
      <c r="C22" s="12" t="inlineStr">
        <is>
          <t>BB</t>
        </is>
      </c>
      <c r="D22" s="11" t="inlineStr">
        <is>
          <t>Cuirassé</t>
        </is>
      </c>
      <c r="E22" s="12" t="inlineStr">
        <is>
          <t>⊗</t>
        </is>
      </c>
      <c r="F22" s="12" t="n"/>
      <c r="G22" s="12" t="n">
        <v>4</v>
      </c>
      <c r="H22" s="12" t="n">
        <v>12</v>
      </c>
      <c r="I22" s="12" t="n">
        <v>14</v>
      </c>
      <c r="J22" s="11" t="inlineStr">
        <is>
          <t>CF4 (28).png</t>
        </is>
      </c>
      <c r="K22" s="12" t="n">
        <v>3</v>
      </c>
      <c r="L22" s="12" t="n">
        <v>10</v>
      </c>
      <c r="M22" s="12" t="n">
        <v>11</v>
      </c>
      <c r="N22" s="11" t="inlineStr">
        <is>
          <t>CB4 (22).png</t>
        </is>
      </c>
      <c r="O22" s="13">
        <f>IF(K22="","",IFERROR(K22-G22,"—"))</f>
        <v/>
      </c>
      <c r="P22" s="13">
        <f>IF(L22="","",IFERROR(L22-H22,"—"))</f>
        <v/>
      </c>
      <c r="Q22" s="13">
        <f>IF(M22="","",IFERROR(M22-I22,"—"))</f>
        <v/>
      </c>
    </row>
    <row r="23">
      <c r="A23" s="10" t="inlineStr">
        <is>
          <t>MUTSU</t>
        </is>
      </c>
      <c r="B23" s="11" t="inlineStr">
        <is>
          <t>陸奥</t>
        </is>
      </c>
      <c r="C23" s="12" t="inlineStr">
        <is>
          <t>BB</t>
        </is>
      </c>
      <c r="D23" s="11" t="inlineStr">
        <is>
          <t>Cuirassé</t>
        </is>
      </c>
      <c r="E23" s="12" t="inlineStr">
        <is>
          <t>⊗</t>
        </is>
      </c>
      <c r="F23" s="12" t="n"/>
      <c r="G23" s="12" t="n">
        <v>3</v>
      </c>
      <c r="H23" s="12" t="n">
        <v>9</v>
      </c>
      <c r="I23" s="12" t="n">
        <v>10</v>
      </c>
      <c r="J23" s="11" t="inlineStr">
        <is>
          <t>CF4 (29).png</t>
        </is>
      </c>
      <c r="K23" s="12" t="n">
        <v>2</v>
      </c>
      <c r="L23" s="12" t="n">
        <v>7</v>
      </c>
      <c r="M23" s="12" t="n">
        <v>8</v>
      </c>
      <c r="N23" s="11" t="inlineStr">
        <is>
          <t>CB4 (30).png</t>
        </is>
      </c>
      <c r="O23" s="13">
        <f>IF(K23="","",IFERROR(K23-G23,"—"))</f>
        <v/>
      </c>
      <c r="P23" s="13">
        <f>IF(L23="","",IFERROR(L23-H23,"—"))</f>
        <v/>
      </c>
      <c r="Q23" s="13">
        <f>IF(M23="","",IFERROR(M23-I23,"—"))</f>
        <v/>
      </c>
    </row>
    <row r="24">
      <c r="A24" s="10" t="inlineStr">
        <is>
          <t>NAGATO</t>
        </is>
      </c>
      <c r="B24" s="11" t="inlineStr">
        <is>
          <t>長門</t>
        </is>
      </c>
      <c r="C24" s="12" t="inlineStr">
        <is>
          <t>BB</t>
        </is>
      </c>
      <c r="D24" s="11" t="inlineStr">
        <is>
          <t>Cuirassé</t>
        </is>
      </c>
      <c r="E24" s="12" t="inlineStr">
        <is>
          <t>⊗</t>
        </is>
      </c>
      <c r="F24" s="12" t="n"/>
      <c r="G24" s="12" t="n">
        <v>3</v>
      </c>
      <c r="H24" s="12" t="n">
        <v>9</v>
      </c>
      <c r="I24" s="12" t="n">
        <v>10</v>
      </c>
      <c r="J24" s="11" t="inlineStr">
        <is>
          <t>CF4 (30).png</t>
        </is>
      </c>
      <c r="K24" s="12" t="n">
        <v>2</v>
      </c>
      <c r="L24" s="12" t="n">
        <v>7</v>
      </c>
      <c r="M24" s="12" t="n">
        <v>8</v>
      </c>
      <c r="N24" s="11" t="inlineStr">
        <is>
          <t>CB4 (29).png</t>
        </is>
      </c>
      <c r="O24" s="13">
        <f>IF(K24="","",IFERROR(K24-G24,"—"))</f>
        <v/>
      </c>
      <c r="P24" s="13">
        <f>IF(L24="","",IFERROR(L24-H24,"—"))</f>
        <v/>
      </c>
      <c r="Q24" s="13">
        <f>IF(M24="","",IFERROR(M24-I24,"—"))</f>
        <v/>
      </c>
    </row>
    <row r="25">
      <c r="A25" s="10" t="inlineStr">
        <is>
          <t>YAMASHIRO</t>
        </is>
      </c>
      <c r="B25" s="11" t="inlineStr">
        <is>
          <t>山城</t>
        </is>
      </c>
      <c r="C25" s="12" t="inlineStr">
        <is>
          <t>BB</t>
        </is>
      </c>
      <c r="D25" s="11" t="inlineStr">
        <is>
          <t>Cuirassé</t>
        </is>
      </c>
      <c r="E25" s="12" t="inlineStr">
        <is>
          <t>⊗</t>
        </is>
      </c>
      <c r="F25" s="12" t="n"/>
      <c r="G25" s="12" t="n">
        <v>3</v>
      </c>
      <c r="H25" s="12" t="n">
        <v>7</v>
      </c>
      <c r="I25" s="12" t="n">
        <v>9</v>
      </c>
      <c r="J25" s="11" t="inlineStr">
        <is>
          <t>CF5 (1).png</t>
        </is>
      </c>
      <c r="K25" s="12" t="n">
        <v>2</v>
      </c>
      <c r="L25" s="12" t="n">
        <v>7</v>
      </c>
      <c r="M25" s="12" t="n">
        <v>7</v>
      </c>
      <c r="N25" s="11" t="inlineStr">
        <is>
          <t>CB5 (7).png</t>
        </is>
      </c>
      <c r="O25" s="13">
        <f>IF(K25="","",IFERROR(K25-G25,"—"))</f>
        <v/>
      </c>
      <c r="P25" s="13">
        <f>IF(L25="","",IFERROR(L25-H25,"—"))</f>
        <v/>
      </c>
      <c r="Q25" s="13">
        <f>IF(M25="","",IFERROR(M25-I25,"—"))</f>
        <v/>
      </c>
    </row>
    <row r="26">
      <c r="A26" s="10" t="inlineStr">
        <is>
          <t>YAMATO</t>
        </is>
      </c>
      <c r="B26" s="11" t="inlineStr">
        <is>
          <t>大和</t>
        </is>
      </c>
      <c r="C26" s="12" t="inlineStr">
        <is>
          <t>BB</t>
        </is>
      </c>
      <c r="D26" s="11" t="inlineStr">
        <is>
          <t>Cuirassé</t>
        </is>
      </c>
      <c r="E26" s="12" t="inlineStr">
        <is>
          <t>⊗</t>
        </is>
      </c>
      <c r="F26" s="12" t="n"/>
      <c r="G26" s="12" t="n">
        <v>4</v>
      </c>
      <c r="H26" s="12" t="n">
        <v>12</v>
      </c>
      <c r="I26" s="12" t="n">
        <v>14</v>
      </c>
      <c r="J26" s="11" t="inlineStr">
        <is>
          <t>CF5 (2).png</t>
        </is>
      </c>
      <c r="K26" s="12" t="n">
        <v>3</v>
      </c>
      <c r="L26" s="12" t="n">
        <v>10</v>
      </c>
      <c r="M26" s="12" t="n">
        <v>11</v>
      </c>
      <c r="N26" s="11" t="inlineStr">
        <is>
          <t>CB5 (6).png</t>
        </is>
      </c>
      <c r="O26" s="13">
        <f>IF(K26="","",IFERROR(K26-G26,"—"))</f>
        <v/>
      </c>
      <c r="P26" s="13">
        <f>IF(L26="","",IFERROR(L26-H26,"—"))</f>
        <v/>
      </c>
      <c r="Q26" s="13">
        <f>IF(M26="","",IFERROR(M26-I26,"—"))</f>
        <v/>
      </c>
    </row>
    <row r="27">
      <c r="A27" s="10" t="inlineStr">
        <is>
          <t>AOBA</t>
        </is>
      </c>
      <c r="B27" s="11" t="inlineStr">
        <is>
          <t>青葉</t>
        </is>
      </c>
      <c r="C27" s="12" t="inlineStr">
        <is>
          <t>CA</t>
        </is>
      </c>
      <c r="D27" s="11" t="inlineStr">
        <is>
          <t>Croiseur lourd</t>
        </is>
      </c>
      <c r="E27" s="12" t="n"/>
      <c r="F27" s="12" t="n"/>
      <c r="G27" s="12" t="n">
        <v>2</v>
      </c>
      <c r="H27" s="12" t="n">
        <v>4</v>
      </c>
      <c r="I27" s="12" t="n">
        <v>5</v>
      </c>
      <c r="J27" s="11" t="inlineStr">
        <is>
          <t>CF5 (3).png</t>
        </is>
      </c>
      <c r="K27" s="12" t="n">
        <v>1</v>
      </c>
      <c r="L27" s="12" t="n">
        <v>4</v>
      </c>
      <c r="M27" s="12" t="n">
        <v>4</v>
      </c>
      <c r="N27" s="11" t="inlineStr">
        <is>
          <t>CB5 (5).png</t>
        </is>
      </c>
      <c r="O27" s="13">
        <f>IF(K27="","",IFERROR(K27-G27,"—"))</f>
        <v/>
      </c>
      <c r="P27" s="13">
        <f>IF(L27="","",IFERROR(L27-H27,"—"))</f>
        <v/>
      </c>
      <c r="Q27" s="13">
        <f>IF(M27="","",IFERROR(M27-I27,"—"))</f>
        <v/>
      </c>
    </row>
    <row r="28">
      <c r="A28" s="10" t="inlineStr">
        <is>
          <t>ASHIGARA</t>
        </is>
      </c>
      <c r="B28" s="11" t="inlineStr">
        <is>
          <t>足柄</t>
        </is>
      </c>
      <c r="C28" s="12" t="inlineStr">
        <is>
          <t>CA</t>
        </is>
      </c>
      <c r="D28" s="11" t="inlineStr">
        <is>
          <t>Croiseur lourd</t>
        </is>
      </c>
      <c r="E28" s="12" t="n"/>
      <c r="F28" s="12" t="n"/>
      <c r="G28" s="12" t="n">
        <v>2</v>
      </c>
      <c r="H28" s="12" t="n">
        <v>5</v>
      </c>
      <c r="I28" s="12" t="n">
        <v>6</v>
      </c>
      <c r="J28" s="11" t="inlineStr">
        <is>
          <t>CF5 (4).png</t>
        </is>
      </c>
      <c r="K28" s="12" t="n">
        <v>1</v>
      </c>
      <c r="L28" s="12" t="n">
        <v>4</v>
      </c>
      <c r="M28" s="12" t="n">
        <v>4</v>
      </c>
      <c r="N28" s="11" t="inlineStr">
        <is>
          <t>CB5 (4).png</t>
        </is>
      </c>
      <c r="O28" s="13">
        <f>IF(K28="","",IFERROR(K28-G28,"—"))</f>
        <v/>
      </c>
      <c r="P28" s="13">
        <f>IF(L28="","",IFERROR(L28-H28,"—"))</f>
        <v/>
      </c>
      <c r="Q28" s="13">
        <f>IF(M28="","",IFERROR(M28-I28,"—"))</f>
        <v/>
      </c>
    </row>
    <row r="29">
      <c r="A29" s="10" t="inlineStr">
        <is>
          <t>ATAGO</t>
        </is>
      </c>
      <c r="B29" s="11" t="inlineStr">
        <is>
          <t>愛宕</t>
        </is>
      </c>
      <c r="C29" s="12" t="inlineStr">
        <is>
          <t>CA</t>
        </is>
      </c>
      <c r="D29" s="11" t="inlineStr">
        <is>
          <t>Croiseur lourd</t>
        </is>
      </c>
      <c r="E29" s="12" t="n"/>
      <c r="F29" s="12" t="n"/>
      <c r="G29" s="12" t="n">
        <v>2</v>
      </c>
      <c r="H29" s="12" t="n">
        <v>5</v>
      </c>
      <c r="I29" s="12" t="n">
        <v>6</v>
      </c>
      <c r="J29" s="11" t="inlineStr">
        <is>
          <t>CF5 (5).png</t>
        </is>
      </c>
      <c r="K29" s="12" t="n">
        <v>2</v>
      </c>
      <c r="L29" s="12" t="n">
        <v>4</v>
      </c>
      <c r="M29" s="12" t="n">
        <v>4</v>
      </c>
      <c r="N29" s="11" t="inlineStr">
        <is>
          <t>CB5 (3).png</t>
        </is>
      </c>
      <c r="O29" s="13">
        <f>IF(K29="","",IFERROR(K29-G29,"—"))</f>
        <v/>
      </c>
      <c r="P29" s="13">
        <f>IF(L29="","",IFERROR(L29-H29,"—"))</f>
        <v/>
      </c>
      <c r="Q29" s="13">
        <f>IF(M29="","",IFERROR(M29-I29,"—"))</f>
        <v/>
      </c>
    </row>
    <row r="30">
      <c r="A30" s="10" t="inlineStr">
        <is>
          <t>CHIKUMA</t>
        </is>
      </c>
      <c r="B30" s="11" t="inlineStr">
        <is>
          <t>筑摩</t>
        </is>
      </c>
      <c r="C30" s="12" t="inlineStr">
        <is>
          <t>CA</t>
        </is>
      </c>
      <c r="D30" s="11" t="inlineStr">
        <is>
          <t>Croiseur lourd</t>
        </is>
      </c>
      <c r="E30" s="12" t="n"/>
      <c r="F30" s="12" t="n"/>
      <c r="G30" s="12" t="n">
        <v>2</v>
      </c>
      <c r="H30" s="12" t="n">
        <v>5</v>
      </c>
      <c r="I30" s="12" t="n">
        <v>6</v>
      </c>
      <c r="J30" s="11" t="inlineStr">
        <is>
          <t>CF5 (6).png</t>
        </is>
      </c>
      <c r="K30" s="12" t="n">
        <v>2</v>
      </c>
      <c r="L30" s="12" t="n">
        <v>4</v>
      </c>
      <c r="M30" s="12" t="n">
        <v>4</v>
      </c>
      <c r="N30" s="11" t="inlineStr">
        <is>
          <t>CB5 (2).png</t>
        </is>
      </c>
      <c r="O30" s="13">
        <f>IF(K30="","",IFERROR(K30-G30,"—"))</f>
        <v/>
      </c>
      <c r="P30" s="13">
        <f>IF(L30="","",IFERROR(L30-H30,"—"))</f>
        <v/>
      </c>
      <c r="Q30" s="13">
        <f>IF(M30="","",IFERROR(M30-I30,"—"))</f>
        <v/>
      </c>
    </row>
    <row r="31">
      <c r="A31" s="10" t="inlineStr">
        <is>
          <t>CHŌKAI</t>
        </is>
      </c>
      <c r="B31" s="11" t="inlineStr">
        <is>
          <t>鳥海</t>
        </is>
      </c>
      <c r="C31" s="12" t="inlineStr">
        <is>
          <t>CA</t>
        </is>
      </c>
      <c r="D31" s="11" t="inlineStr">
        <is>
          <t>Croiseur lourd</t>
        </is>
      </c>
      <c r="E31" s="12" t="n"/>
      <c r="F31" s="12" t="n"/>
      <c r="G31" s="12" t="n">
        <v>2</v>
      </c>
      <c r="H31" s="12" t="n">
        <v>5</v>
      </c>
      <c r="I31" s="12" t="n">
        <v>6</v>
      </c>
      <c r="J31" s="11" t="inlineStr">
        <is>
          <t>CF5 (7).png</t>
        </is>
      </c>
      <c r="K31" s="12" t="n">
        <v>2</v>
      </c>
      <c r="L31" s="12" t="n">
        <v>4</v>
      </c>
      <c r="M31" s="12" t="n">
        <v>4</v>
      </c>
      <c r="N31" s="11" t="inlineStr">
        <is>
          <t>CB5 (1).png</t>
        </is>
      </c>
      <c r="O31" s="13">
        <f>IF(K31="","",IFERROR(K31-G31,"—"))</f>
        <v/>
      </c>
      <c r="P31" s="13">
        <f>IF(L31="","",IFERROR(L31-H31,"—"))</f>
        <v/>
      </c>
      <c r="Q31" s="13">
        <f>IF(M31="","",IFERROR(M31-I31,"—"))</f>
        <v/>
      </c>
    </row>
    <row r="32">
      <c r="A32" s="10" t="inlineStr">
        <is>
          <t>FURUTAKA</t>
        </is>
      </c>
      <c r="B32" s="11" t="inlineStr">
        <is>
          <t>古鷹</t>
        </is>
      </c>
      <c r="C32" s="12" t="inlineStr">
        <is>
          <t>CA</t>
        </is>
      </c>
      <c r="D32" s="11" t="inlineStr">
        <is>
          <t>Croiseur lourd</t>
        </is>
      </c>
      <c r="E32" s="12" t="n"/>
      <c r="F32" s="12" t="n"/>
      <c r="G32" s="12" t="n">
        <v>2</v>
      </c>
      <c r="H32" s="12" t="n">
        <v>4</v>
      </c>
      <c r="I32" s="12" t="n">
        <v>5</v>
      </c>
      <c r="J32" s="11" t="inlineStr">
        <is>
          <t>CF5 (8).png</t>
        </is>
      </c>
      <c r="K32" s="12" t="n">
        <v>1</v>
      </c>
      <c r="L32" s="12" t="n">
        <v>4</v>
      </c>
      <c r="M32" s="12" t="n">
        <v>4</v>
      </c>
      <c r="N32" s="11" t="inlineStr">
        <is>
          <t>CB5 (14).png</t>
        </is>
      </c>
      <c r="O32" s="13">
        <f>IF(K32="","",IFERROR(K32-G32,"—"))</f>
        <v/>
      </c>
      <c r="P32" s="13">
        <f>IF(L32="","",IFERROR(L32-H32,"—"))</f>
        <v/>
      </c>
      <c r="Q32" s="13">
        <f>IF(M32="","",IFERROR(M32-I32,"—"))</f>
        <v/>
      </c>
    </row>
    <row r="33">
      <c r="A33" s="10" t="inlineStr">
        <is>
          <t>HAGURO</t>
        </is>
      </c>
      <c r="B33" s="11" t="inlineStr">
        <is>
          <t>羽黒</t>
        </is>
      </c>
      <c r="C33" s="12" t="inlineStr">
        <is>
          <t>CA</t>
        </is>
      </c>
      <c r="D33" s="11" t="inlineStr">
        <is>
          <t>Croiseur lourd</t>
        </is>
      </c>
      <c r="E33" s="12" t="n"/>
      <c r="F33" s="12" t="n"/>
      <c r="G33" s="12" t="n">
        <v>2</v>
      </c>
      <c r="H33" s="12" t="n">
        <v>5</v>
      </c>
      <c r="I33" s="12" t="n">
        <v>6</v>
      </c>
      <c r="J33" s="11" t="inlineStr">
        <is>
          <t>CF5 (9).png</t>
        </is>
      </c>
      <c r="K33" s="12" t="n">
        <v>1</v>
      </c>
      <c r="L33" s="12" t="n">
        <v>4</v>
      </c>
      <c r="M33" s="12" t="n">
        <v>4</v>
      </c>
      <c r="N33" s="11" t="inlineStr">
        <is>
          <t>CB5 (13).png</t>
        </is>
      </c>
      <c r="O33" s="13">
        <f>IF(K33="","",IFERROR(K33-G33,"—"))</f>
        <v/>
      </c>
      <c r="P33" s="13">
        <f>IF(L33="","",IFERROR(L33-H33,"—"))</f>
        <v/>
      </c>
      <c r="Q33" s="13">
        <f>IF(M33="","",IFERROR(M33-I33,"—"))</f>
        <v/>
      </c>
    </row>
    <row r="34">
      <c r="A34" s="10" t="inlineStr">
        <is>
          <t>KAKO</t>
        </is>
      </c>
      <c r="B34" s="11" t="inlineStr">
        <is>
          <t>加古</t>
        </is>
      </c>
      <c r="C34" s="12" t="inlineStr">
        <is>
          <t>CA</t>
        </is>
      </c>
      <c r="D34" s="11" t="inlineStr">
        <is>
          <t>Croiseur lourd</t>
        </is>
      </c>
      <c r="E34" s="12" t="n"/>
      <c r="F34" s="12" t="n"/>
      <c r="G34" s="12" t="n">
        <v>2</v>
      </c>
      <c r="H34" s="12" t="n">
        <v>4</v>
      </c>
      <c r="I34" s="12" t="n">
        <v>5</v>
      </c>
      <c r="J34" s="11" t="inlineStr">
        <is>
          <t>CF5 (10).png</t>
        </is>
      </c>
      <c r="K34" s="12" t="n">
        <v>1</v>
      </c>
      <c r="L34" s="12" t="n">
        <v>4</v>
      </c>
      <c r="M34" s="12" t="n">
        <v>4</v>
      </c>
      <c r="N34" s="11" t="inlineStr">
        <is>
          <t>CB5 (12).png</t>
        </is>
      </c>
      <c r="O34" s="13">
        <f>IF(K34="","",IFERROR(K34-G34,"—"))</f>
        <v/>
      </c>
      <c r="P34" s="13">
        <f>IF(L34="","",IFERROR(L34-H34,"—"))</f>
        <v/>
      </c>
      <c r="Q34" s="13">
        <f>IF(M34="","",IFERROR(M34-I34,"—"))</f>
        <v/>
      </c>
    </row>
    <row r="35">
      <c r="A35" s="10" t="inlineStr">
        <is>
          <t>KINUGASA</t>
        </is>
      </c>
      <c r="B35" s="11" t="inlineStr">
        <is>
          <t>衣笠</t>
        </is>
      </c>
      <c r="C35" s="12" t="inlineStr">
        <is>
          <t>CA</t>
        </is>
      </c>
      <c r="D35" s="11" t="inlineStr">
        <is>
          <t>Croiseur lourd</t>
        </is>
      </c>
      <c r="E35" s="12" t="n"/>
      <c r="F35" s="12" t="n"/>
      <c r="G35" s="12" t="n">
        <v>2</v>
      </c>
      <c r="H35" s="12" t="n">
        <v>4</v>
      </c>
      <c r="I35" s="12" t="n">
        <v>5</v>
      </c>
      <c r="J35" s="11" t="inlineStr">
        <is>
          <t>CF5 (11).png</t>
        </is>
      </c>
      <c r="K35" s="12" t="n">
        <v>1</v>
      </c>
      <c r="L35" s="12" t="n">
        <v>4</v>
      </c>
      <c r="M35" s="12" t="n">
        <v>4</v>
      </c>
      <c r="N35" s="11" t="inlineStr">
        <is>
          <t>CB5 (11).png</t>
        </is>
      </c>
      <c r="O35" s="13">
        <f>IF(K35="","",IFERROR(K35-G35,"—"))</f>
        <v/>
      </c>
      <c r="P35" s="13">
        <f>IF(L35="","",IFERROR(L35-H35,"—"))</f>
        <v/>
      </c>
      <c r="Q35" s="13">
        <f>IF(M35="","",IFERROR(M35-I35,"—"))</f>
        <v/>
      </c>
    </row>
    <row r="36">
      <c r="A36" s="10" t="inlineStr">
        <is>
          <t>KUMANO</t>
        </is>
      </c>
      <c r="B36" s="11" t="inlineStr">
        <is>
          <t>熊野</t>
        </is>
      </c>
      <c r="C36" s="12" t="inlineStr">
        <is>
          <t>CA</t>
        </is>
      </c>
      <c r="D36" s="11" t="inlineStr">
        <is>
          <t>Croiseur lourd</t>
        </is>
      </c>
      <c r="E36" s="12" t="n"/>
      <c r="F36" s="12" t="n"/>
      <c r="G36" s="12" t="n">
        <v>2</v>
      </c>
      <c r="H36" s="12" t="n">
        <v>5</v>
      </c>
      <c r="I36" s="12" t="n">
        <v>5</v>
      </c>
      <c r="J36" s="11" t="inlineStr">
        <is>
          <t>CF5 (12).png</t>
        </is>
      </c>
      <c r="K36" s="12" t="n">
        <v>2</v>
      </c>
      <c r="L36" s="12" t="n">
        <v>4</v>
      </c>
      <c r="M36" s="12" t="n">
        <v>4</v>
      </c>
      <c r="N36" s="11" t="inlineStr">
        <is>
          <t>CB5 (10).png</t>
        </is>
      </c>
      <c r="O36" s="13">
        <f>IF(K36="","",IFERROR(K36-G36,"—"))</f>
        <v/>
      </c>
      <c r="P36" s="13">
        <f>IF(L36="","",IFERROR(L36-H36,"—"))</f>
        <v/>
      </c>
      <c r="Q36" s="13">
        <f>IF(M36="","",IFERROR(M36-I36,"—"))</f>
        <v/>
      </c>
    </row>
    <row r="37">
      <c r="A37" s="10" t="inlineStr">
        <is>
          <t>MAYA</t>
        </is>
      </c>
      <c r="B37" s="11" t="inlineStr">
        <is>
          <t>摩耶</t>
        </is>
      </c>
      <c r="C37" s="12" t="inlineStr">
        <is>
          <t>CA</t>
        </is>
      </c>
      <c r="D37" s="11" t="inlineStr">
        <is>
          <t>Croiseur lourd</t>
        </is>
      </c>
      <c r="E37" s="12" t="n"/>
      <c r="F37" s="12" t="n"/>
      <c r="G37" s="12" t="n">
        <v>2</v>
      </c>
      <c r="H37" s="12" t="n">
        <v>5</v>
      </c>
      <c r="I37" s="12" t="n">
        <v>6</v>
      </c>
      <c r="J37" s="11" t="inlineStr">
        <is>
          <t>CF5 (13).png</t>
        </is>
      </c>
      <c r="K37" s="12" t="n">
        <v>2</v>
      </c>
      <c r="L37" s="12" t="n">
        <v>4</v>
      </c>
      <c r="M37" s="12" t="n">
        <v>4</v>
      </c>
      <c r="N37" s="11" t="inlineStr">
        <is>
          <t>CB5 (9).png</t>
        </is>
      </c>
      <c r="O37" s="13">
        <f>IF(K37="","",IFERROR(K37-G37,"—"))</f>
        <v/>
      </c>
      <c r="P37" s="13">
        <f>IF(L37="","",IFERROR(L37-H37,"—"))</f>
        <v/>
      </c>
      <c r="Q37" s="13">
        <f>IF(M37="","",IFERROR(M37-I37,"—"))</f>
        <v/>
      </c>
    </row>
    <row r="38">
      <c r="A38" s="10" t="inlineStr">
        <is>
          <t>MIKUMA</t>
        </is>
      </c>
      <c r="B38" s="11" t="inlineStr">
        <is>
          <t>三隈</t>
        </is>
      </c>
      <c r="C38" s="12" t="inlineStr">
        <is>
          <t>CA</t>
        </is>
      </c>
      <c r="D38" s="11" t="inlineStr">
        <is>
          <t>Croiseur lourd</t>
        </is>
      </c>
      <c r="E38" s="12" t="n"/>
      <c r="F38" s="12" t="n"/>
      <c r="G38" s="12" t="n">
        <v>2</v>
      </c>
      <c r="H38" s="12" t="n">
        <v>5</v>
      </c>
      <c r="I38" s="12" t="n">
        <v>5</v>
      </c>
      <c r="J38" s="11" t="inlineStr">
        <is>
          <t>CF5 (14).png</t>
        </is>
      </c>
      <c r="K38" s="12" t="n">
        <v>2</v>
      </c>
      <c r="L38" s="12" t="n">
        <v>4</v>
      </c>
      <c r="M38" s="12" t="n">
        <v>4</v>
      </c>
      <c r="N38" s="11" t="inlineStr">
        <is>
          <t>CB5 (8).png</t>
        </is>
      </c>
      <c r="O38" s="13">
        <f>IF(K38="","",IFERROR(K38-G38,"—"))</f>
        <v/>
      </c>
      <c r="P38" s="13">
        <f>IF(L38="","",IFERROR(L38-H38,"—"))</f>
        <v/>
      </c>
      <c r="Q38" s="13">
        <f>IF(M38="","",IFERROR(M38-I38,"—"))</f>
        <v/>
      </c>
    </row>
    <row r="39">
      <c r="A39" s="10" t="inlineStr">
        <is>
          <t>MOGAMI</t>
        </is>
      </c>
      <c r="B39" s="11" t="inlineStr">
        <is>
          <t>最上</t>
        </is>
      </c>
      <c r="C39" s="12" t="inlineStr">
        <is>
          <t>CA</t>
        </is>
      </c>
      <c r="D39" s="11" t="inlineStr">
        <is>
          <t>Croiseur lourd</t>
        </is>
      </c>
      <c r="E39" s="12" t="n"/>
      <c r="F39" s="12" t="n"/>
      <c r="G39" s="12" t="n">
        <v>2</v>
      </c>
      <c r="H39" s="12" t="n">
        <v>5</v>
      </c>
      <c r="I39" s="12" t="n">
        <v>5</v>
      </c>
      <c r="J39" s="11" t="inlineStr">
        <is>
          <t>CF5 (15).png</t>
        </is>
      </c>
      <c r="K39" s="12" t="n">
        <v>2</v>
      </c>
      <c r="L39" s="12" t="n">
        <v>4</v>
      </c>
      <c r="M39" s="12" t="n">
        <v>4</v>
      </c>
      <c r="N39" s="11" t="inlineStr">
        <is>
          <t>CB5 (21).png</t>
        </is>
      </c>
      <c r="O39" s="13">
        <f>IF(K39="","",IFERROR(K39-G39,"—"))</f>
        <v/>
      </c>
      <c r="P39" s="13">
        <f>IF(L39="","",IFERROR(L39-H39,"—"))</f>
        <v/>
      </c>
      <c r="Q39" s="13">
        <f>IF(M39="","",IFERROR(M39-I39,"—"))</f>
        <v/>
      </c>
    </row>
    <row r="40">
      <c r="A40" s="10" t="inlineStr">
        <is>
          <t>MYŌKŌ</t>
        </is>
      </c>
      <c r="B40" s="11" t="inlineStr">
        <is>
          <t>妙高</t>
        </is>
      </c>
      <c r="C40" s="12" t="inlineStr">
        <is>
          <t>CA</t>
        </is>
      </c>
      <c r="D40" s="11" t="inlineStr">
        <is>
          <t>Croiseur lourd</t>
        </is>
      </c>
      <c r="E40" s="12" t="n"/>
      <c r="F40" s="12" t="n"/>
      <c r="G40" s="12" t="n">
        <v>2</v>
      </c>
      <c r="H40" s="12" t="n">
        <v>5</v>
      </c>
      <c r="I40" s="12" t="n">
        <v>6</v>
      </c>
      <c r="J40" s="11" t="inlineStr">
        <is>
          <t>CF5 (16).png</t>
        </is>
      </c>
      <c r="K40" s="12" t="n">
        <v>1</v>
      </c>
      <c r="L40" s="12" t="n">
        <v>4</v>
      </c>
      <c r="M40" s="12" t="n">
        <v>4</v>
      </c>
      <c r="N40" s="11" t="inlineStr">
        <is>
          <t>CB5 (20).png</t>
        </is>
      </c>
      <c r="O40" s="13">
        <f>IF(K40="","",IFERROR(K40-G40,"—"))</f>
        <v/>
      </c>
      <c r="P40" s="13">
        <f>IF(L40="","",IFERROR(L40-H40,"—"))</f>
        <v/>
      </c>
      <c r="Q40" s="13">
        <f>IF(M40="","",IFERROR(M40-I40,"—"))</f>
        <v/>
      </c>
    </row>
    <row r="41">
      <c r="A41" s="10" t="inlineStr">
        <is>
          <t>NACHI</t>
        </is>
      </c>
      <c r="B41" s="11" t="inlineStr">
        <is>
          <t>那智</t>
        </is>
      </c>
      <c r="C41" s="12" t="inlineStr">
        <is>
          <t>CA</t>
        </is>
      </c>
      <c r="D41" s="11" t="inlineStr">
        <is>
          <t>Croiseur lourd</t>
        </is>
      </c>
      <c r="E41" s="12" t="n"/>
      <c r="F41" s="12" t="n"/>
      <c r="G41" s="12" t="n">
        <v>2</v>
      </c>
      <c r="H41" s="12" t="n">
        <v>5</v>
      </c>
      <c r="I41" s="12" t="n">
        <v>6</v>
      </c>
      <c r="J41" s="11" t="inlineStr">
        <is>
          <t>CF5 (17).png</t>
        </is>
      </c>
      <c r="K41" s="12" t="n">
        <v>1</v>
      </c>
      <c r="L41" s="12" t="n">
        <v>4</v>
      </c>
      <c r="M41" s="12" t="n">
        <v>4</v>
      </c>
      <c r="N41" s="11" t="inlineStr">
        <is>
          <t>CB5 (19).png</t>
        </is>
      </c>
      <c r="O41" s="13">
        <f>IF(K41="","",IFERROR(K41-G41,"—"))</f>
        <v/>
      </c>
      <c r="P41" s="13">
        <f>IF(L41="","",IFERROR(L41-H41,"—"))</f>
        <v/>
      </c>
      <c r="Q41" s="13">
        <f>IF(M41="","",IFERROR(M41-I41,"—"))</f>
        <v/>
      </c>
    </row>
    <row r="42">
      <c r="A42" s="10" t="inlineStr">
        <is>
          <t>SUZUYA</t>
        </is>
      </c>
      <c r="B42" s="11" t="inlineStr">
        <is>
          <t>鈴谷</t>
        </is>
      </c>
      <c r="C42" s="12" t="inlineStr">
        <is>
          <t>CA</t>
        </is>
      </c>
      <c r="D42" s="11" t="inlineStr">
        <is>
          <t>Croiseur lourd</t>
        </is>
      </c>
      <c r="E42" s="12" t="n"/>
      <c r="F42" s="12" t="n"/>
      <c r="G42" s="12" t="n">
        <v>2</v>
      </c>
      <c r="H42" s="12" t="n">
        <v>5</v>
      </c>
      <c r="I42" s="12" t="n">
        <v>5</v>
      </c>
      <c r="J42" s="11" t="inlineStr">
        <is>
          <t>CF5 (18).png</t>
        </is>
      </c>
      <c r="K42" s="12" t="n">
        <v>2</v>
      </c>
      <c r="L42" s="12" t="n">
        <v>4</v>
      </c>
      <c r="M42" s="12" t="n">
        <v>4</v>
      </c>
      <c r="N42" s="11" t="inlineStr">
        <is>
          <t>CB5 (18).png</t>
        </is>
      </c>
      <c r="O42" s="13">
        <f>IF(K42="","",IFERROR(K42-G42,"—"))</f>
        <v/>
      </c>
      <c r="P42" s="13">
        <f>IF(L42="","",IFERROR(L42-H42,"—"))</f>
        <v/>
      </c>
      <c r="Q42" s="13">
        <f>IF(M42="","",IFERROR(M42-I42,"—"))</f>
        <v/>
      </c>
    </row>
    <row r="43">
      <c r="A43" s="10" t="inlineStr">
        <is>
          <t>TAKAO</t>
        </is>
      </c>
      <c r="B43" s="11" t="inlineStr">
        <is>
          <t>高雄</t>
        </is>
      </c>
      <c r="C43" s="12" t="inlineStr">
        <is>
          <t>CA</t>
        </is>
      </c>
      <c r="D43" s="11" t="inlineStr">
        <is>
          <t>Croiseur lourd</t>
        </is>
      </c>
      <c r="E43" s="12" t="n"/>
      <c r="F43" s="12" t="n"/>
      <c r="G43" s="12" t="n">
        <v>2</v>
      </c>
      <c r="H43" s="12" t="n">
        <v>5</v>
      </c>
      <c r="I43" s="12" t="n">
        <v>6</v>
      </c>
      <c r="J43" s="11" t="inlineStr">
        <is>
          <t>CF5 (19).png</t>
        </is>
      </c>
      <c r="K43" s="12" t="n">
        <v>2</v>
      </c>
      <c r="L43" s="12" t="n">
        <v>4</v>
      </c>
      <c r="M43" s="12" t="n">
        <v>4</v>
      </c>
      <c r="N43" s="11" t="inlineStr">
        <is>
          <t>CB5 (17).png</t>
        </is>
      </c>
      <c r="O43" s="13">
        <f>IF(K43="","",IFERROR(K43-G43,"—"))</f>
        <v/>
      </c>
      <c r="P43" s="13">
        <f>IF(L43="","",IFERROR(L43-H43,"—"))</f>
        <v/>
      </c>
      <c r="Q43" s="13">
        <f>IF(M43="","",IFERROR(M43-I43,"—"))</f>
        <v/>
      </c>
    </row>
    <row r="44">
      <c r="A44" s="10" t="inlineStr">
        <is>
          <t>TONE</t>
        </is>
      </c>
      <c r="B44" s="11" t="inlineStr">
        <is>
          <t>利根</t>
        </is>
      </c>
      <c r="C44" s="12" t="inlineStr">
        <is>
          <t>CA</t>
        </is>
      </c>
      <c r="D44" s="11" t="inlineStr">
        <is>
          <t>Croiseur lourd</t>
        </is>
      </c>
      <c r="E44" s="12" t="n"/>
      <c r="F44" s="12" t="n"/>
      <c r="G44" s="12" t="n">
        <v>2</v>
      </c>
      <c r="H44" s="12" t="n">
        <v>5</v>
      </c>
      <c r="I44" s="12" t="n">
        <v>6</v>
      </c>
      <c r="J44" s="11" t="inlineStr">
        <is>
          <t>CF5 (20).png</t>
        </is>
      </c>
      <c r="K44" s="12" t="n">
        <v>2</v>
      </c>
      <c r="L44" s="12" t="n">
        <v>4</v>
      </c>
      <c r="M44" s="12" t="n">
        <v>4</v>
      </c>
      <c r="N44" s="11" t="inlineStr">
        <is>
          <t>CB5 (16).png</t>
        </is>
      </c>
      <c r="O44" s="13">
        <f>IF(K44="","",IFERROR(K44-G44,"—"))</f>
        <v/>
      </c>
      <c r="P44" s="13">
        <f>IF(L44="","",IFERROR(L44-H44,"—"))</f>
        <v/>
      </c>
      <c r="Q44" s="13">
        <f>IF(M44="","",IFERROR(M44-I44,"—"))</f>
        <v/>
      </c>
    </row>
    <row r="45">
      <c r="A45" s="10" t="inlineStr">
        <is>
          <t>ABUKUMA</t>
        </is>
      </c>
      <c r="B45" s="11" t="inlineStr">
        <is>
          <t>阿武隈</t>
        </is>
      </c>
      <c r="C45" s="12" t="inlineStr">
        <is>
          <t>CL</t>
        </is>
      </c>
      <c r="D45" s="11" t="inlineStr">
        <is>
          <t>Croiseur léger</t>
        </is>
      </c>
      <c r="E45" s="12" t="n"/>
      <c r="F45" s="12" t="n"/>
      <c r="G45" s="12" t="n">
        <v>1</v>
      </c>
      <c r="H45" s="12" t="n">
        <v>3</v>
      </c>
      <c r="I45" s="12" t="n">
        <v>4</v>
      </c>
      <c r="J45" s="11" t="inlineStr">
        <is>
          <t>CF5 (21).png</t>
        </is>
      </c>
      <c r="K45" s="12" t="n">
        <v>1</v>
      </c>
      <c r="L45" s="12" t="n">
        <v>3</v>
      </c>
      <c r="M45" s="12" t="n">
        <v>3</v>
      </c>
      <c r="N45" s="11" t="inlineStr">
        <is>
          <t>CB5 (15).png</t>
        </is>
      </c>
      <c r="O45" s="13">
        <f>IF(K45="","",IFERROR(K45-G45,"—"))</f>
        <v/>
      </c>
      <c r="P45" s="13">
        <f>IF(L45="","",IFERROR(L45-H45,"—"))</f>
        <v/>
      </c>
      <c r="Q45" s="13">
        <f>IF(M45="","",IFERROR(M45-I45,"—"))</f>
        <v/>
      </c>
    </row>
    <row r="46">
      <c r="A46" s="10" t="inlineStr">
        <is>
          <t>ISUZU</t>
        </is>
      </c>
      <c r="B46" s="11" t="inlineStr">
        <is>
          <t>五十鈴</t>
        </is>
      </c>
      <c r="C46" s="12" t="inlineStr">
        <is>
          <t>CL</t>
        </is>
      </c>
      <c r="D46" s="11" t="inlineStr">
        <is>
          <t>Croiseur léger</t>
        </is>
      </c>
      <c r="E46" s="12" t="n"/>
      <c r="F46" s="12" t="n"/>
      <c r="G46" s="12" t="n">
        <v>1</v>
      </c>
      <c r="H46" s="12" t="n">
        <v>3</v>
      </c>
      <c r="I46" s="12" t="n">
        <v>4</v>
      </c>
      <c r="J46" s="11" t="inlineStr">
        <is>
          <t>CF5 (22).png</t>
        </is>
      </c>
      <c r="K46" s="12" t="n">
        <v>1</v>
      </c>
      <c r="L46" s="12" t="n">
        <v>3</v>
      </c>
      <c r="M46" s="12" t="n">
        <v>3</v>
      </c>
      <c r="N46" s="11" t="inlineStr">
        <is>
          <t>CB5 (28).png</t>
        </is>
      </c>
      <c r="O46" s="13">
        <f>IF(K46="","",IFERROR(K46-G46,"—"))</f>
        <v/>
      </c>
      <c r="P46" s="13">
        <f>IF(L46="","",IFERROR(L46-H46,"—"))</f>
        <v/>
      </c>
      <c r="Q46" s="13">
        <f>IF(M46="","",IFERROR(M46-I46,"—"))</f>
        <v/>
      </c>
    </row>
    <row r="47">
      <c r="A47" s="10" t="inlineStr">
        <is>
          <t>JINTSŪ</t>
        </is>
      </c>
      <c r="B47" s="11" t="inlineStr">
        <is>
          <t>神通</t>
        </is>
      </c>
      <c r="C47" s="12" t="inlineStr">
        <is>
          <t>CL</t>
        </is>
      </c>
      <c r="D47" s="11" t="inlineStr">
        <is>
          <t>Croiseur léger</t>
        </is>
      </c>
      <c r="E47" s="12" t="n"/>
      <c r="F47" s="12" t="n"/>
      <c r="G47" s="12" t="n">
        <v>1</v>
      </c>
      <c r="H47" s="12" t="n">
        <v>3</v>
      </c>
      <c r="I47" s="12" t="n">
        <v>4</v>
      </c>
      <c r="J47" s="11" t="inlineStr">
        <is>
          <t>CF5 (23).png</t>
        </is>
      </c>
      <c r="K47" s="14" t="n"/>
      <c r="L47" s="14" t="n"/>
      <c r="M47" s="14" t="n"/>
      <c r="N47" s="15" t="inlineStr">
        <is>
          <t>face manquante</t>
        </is>
      </c>
      <c r="O47" s="13">
        <f>IF(K47="","",IFERROR(K47-G47,"—"))</f>
        <v/>
      </c>
      <c r="P47" s="13">
        <f>IF(L47="","",IFERROR(L47-H47,"—"))</f>
        <v/>
      </c>
      <c r="Q47" s="13">
        <f>IF(M47="","",IFERROR(M47-I47,"—"))</f>
        <v/>
      </c>
    </row>
    <row r="48">
      <c r="A48" s="10" t="inlineStr">
        <is>
          <t>KINU</t>
        </is>
      </c>
      <c r="B48" s="11" t="inlineStr">
        <is>
          <t>鬼怒</t>
        </is>
      </c>
      <c r="C48" s="12" t="inlineStr">
        <is>
          <t>CL</t>
        </is>
      </c>
      <c r="D48" s="11" t="inlineStr">
        <is>
          <t>Croiseur léger</t>
        </is>
      </c>
      <c r="E48" s="12" t="n"/>
      <c r="F48" s="12" t="n"/>
      <c r="G48" s="12" t="n">
        <v>1</v>
      </c>
      <c r="H48" s="12" t="n">
        <v>3</v>
      </c>
      <c r="I48" s="12" t="n">
        <v>4</v>
      </c>
      <c r="J48" s="11" t="inlineStr">
        <is>
          <t>CF5 (24).png</t>
        </is>
      </c>
      <c r="K48" s="12" t="n">
        <v>1</v>
      </c>
      <c r="L48" s="12" t="n">
        <v>3</v>
      </c>
      <c r="M48" s="12" t="n">
        <v>3</v>
      </c>
      <c r="N48" s="11" t="inlineStr">
        <is>
          <t>CB5 (26).png</t>
        </is>
      </c>
      <c r="O48" s="13">
        <f>IF(K48="","",IFERROR(K48-G48,"—"))</f>
        <v/>
      </c>
      <c r="P48" s="13">
        <f>IF(L48="","",IFERROR(L48-H48,"—"))</f>
        <v/>
      </c>
      <c r="Q48" s="13">
        <f>IF(M48="","",IFERROR(M48-I48,"—"))</f>
        <v/>
      </c>
    </row>
    <row r="49">
      <c r="A49" s="10" t="inlineStr">
        <is>
          <t>KISO</t>
        </is>
      </c>
      <c r="B49" s="11" t="inlineStr">
        <is>
          <t>木曾</t>
        </is>
      </c>
      <c r="C49" s="12" t="inlineStr">
        <is>
          <t>CL</t>
        </is>
      </c>
      <c r="D49" s="11" t="inlineStr">
        <is>
          <t>Croiseur léger</t>
        </is>
      </c>
      <c r="E49" s="12" t="n"/>
      <c r="F49" s="12" t="n"/>
      <c r="G49" s="12" t="n">
        <v>1</v>
      </c>
      <c r="H49" s="12" t="n">
        <v>3</v>
      </c>
      <c r="I49" s="12" t="n">
        <v>4</v>
      </c>
      <c r="J49" s="11" t="inlineStr">
        <is>
          <t>CF5 (25).png</t>
        </is>
      </c>
      <c r="K49" s="12" t="n">
        <v>1</v>
      </c>
      <c r="L49" s="12" t="n">
        <v>3</v>
      </c>
      <c r="M49" s="12" t="n">
        <v>3</v>
      </c>
      <c r="N49" s="11" t="inlineStr">
        <is>
          <t>CB5 (25).png</t>
        </is>
      </c>
      <c r="O49" s="13">
        <f>IF(K49="","",IFERROR(K49-G49,"—"))</f>
        <v/>
      </c>
      <c r="P49" s="13">
        <f>IF(L49="","",IFERROR(L49-H49,"—"))</f>
        <v/>
      </c>
      <c r="Q49" s="13">
        <f>IF(M49="","",IFERROR(M49-I49,"—"))</f>
        <v/>
      </c>
    </row>
    <row r="50">
      <c r="A50" s="10" t="inlineStr">
        <is>
          <t>KITAKAMI</t>
        </is>
      </c>
      <c r="B50" s="11" t="inlineStr">
        <is>
          <t>北上</t>
        </is>
      </c>
      <c r="C50" s="12" t="inlineStr">
        <is>
          <t>CL</t>
        </is>
      </c>
      <c r="D50" s="11" t="inlineStr">
        <is>
          <t>Croiseur léger</t>
        </is>
      </c>
      <c r="E50" s="12" t="n"/>
      <c r="F50" s="12" t="n"/>
      <c r="G50" s="12" t="n">
        <v>1</v>
      </c>
      <c r="H50" s="12" t="n">
        <v>3</v>
      </c>
      <c r="I50" s="12" t="inlineStr">
        <is>
          <t>4/8</t>
        </is>
      </c>
      <c r="J50" s="11" t="inlineStr">
        <is>
          <t>CF5 (26).png</t>
        </is>
      </c>
      <c r="K50" s="12" t="n">
        <v>0</v>
      </c>
      <c r="L50" s="12" t="n">
        <v>2</v>
      </c>
      <c r="M50" s="12" t="inlineStr">
        <is>
          <t>2/4</t>
        </is>
      </c>
      <c r="N50" s="11" t="inlineStr">
        <is>
          <t>CB5 (24).png</t>
        </is>
      </c>
      <c r="O50" s="13">
        <f>IF(K50="","",IFERROR(K50-G50,"—"))</f>
        <v/>
      </c>
      <c r="P50" s="13">
        <f>IF(L50="","",IFERROR(L50-H50,"—"))</f>
        <v/>
      </c>
      <c r="Q50" s="13">
        <f>IF(M50="","",IFERROR(M50-I50,"—"))</f>
        <v/>
      </c>
    </row>
    <row r="51">
      <c r="A51" s="10" t="inlineStr">
        <is>
          <t>NAGARA</t>
        </is>
      </c>
      <c r="B51" s="11" t="inlineStr">
        <is>
          <t>長良</t>
        </is>
      </c>
      <c r="C51" s="12" t="inlineStr">
        <is>
          <t>CL</t>
        </is>
      </c>
      <c r="D51" s="11" t="inlineStr">
        <is>
          <t>Croiseur léger</t>
        </is>
      </c>
      <c r="E51" s="12" t="n"/>
      <c r="F51" s="12" t="n"/>
      <c r="G51" s="12" t="n">
        <v>1</v>
      </c>
      <c r="H51" s="12" t="n">
        <v>3</v>
      </c>
      <c r="I51" s="12" t="n">
        <v>4</v>
      </c>
      <c r="J51" s="11" t="inlineStr">
        <is>
          <t>CF5 (27).png</t>
        </is>
      </c>
      <c r="K51" s="12" t="n">
        <v>1</v>
      </c>
      <c r="L51" s="12" t="n">
        <v>3</v>
      </c>
      <c r="M51" s="12" t="n">
        <v>3</v>
      </c>
      <c r="N51" s="11" t="inlineStr">
        <is>
          <t>CB5 (23).png</t>
        </is>
      </c>
      <c r="O51" s="13">
        <f>IF(K51="","",IFERROR(K51-G51,"—"))</f>
        <v/>
      </c>
      <c r="P51" s="13">
        <f>IF(L51="","",IFERROR(L51-H51,"—"))</f>
        <v/>
      </c>
      <c r="Q51" s="13">
        <f>IF(M51="","",IFERROR(M51-I51,"—"))</f>
        <v/>
      </c>
    </row>
    <row r="52">
      <c r="A52" s="10" t="inlineStr">
        <is>
          <t>NAKA</t>
        </is>
      </c>
      <c r="B52" s="11" t="inlineStr">
        <is>
          <t>那珂</t>
        </is>
      </c>
      <c r="C52" s="12" t="inlineStr">
        <is>
          <t>CL</t>
        </is>
      </c>
      <c r="D52" s="11" t="inlineStr">
        <is>
          <t>Croiseur léger</t>
        </is>
      </c>
      <c r="E52" s="12" t="n"/>
      <c r="F52" s="12" t="n"/>
      <c r="G52" s="12" t="n">
        <v>1</v>
      </c>
      <c r="H52" s="12" t="n">
        <v>3</v>
      </c>
      <c r="I52" s="12" t="n">
        <v>4</v>
      </c>
      <c r="J52" s="11" t="inlineStr">
        <is>
          <t>CF5 (28).png</t>
        </is>
      </c>
      <c r="K52" s="12" t="n">
        <v>1</v>
      </c>
      <c r="L52" s="12" t="n">
        <v>3</v>
      </c>
      <c r="M52" s="12" t="n">
        <v>3</v>
      </c>
      <c r="N52" s="11" t="inlineStr">
        <is>
          <t>CB5 (22).png</t>
        </is>
      </c>
      <c r="O52" s="13">
        <f>IF(K52="","",IFERROR(K52-G52,"—"))</f>
        <v/>
      </c>
      <c r="P52" s="13">
        <f>IF(L52="","",IFERROR(L52-H52,"—"))</f>
        <v/>
      </c>
      <c r="Q52" s="13">
        <f>IF(M52="","",IFERROR(M52-I52,"—"))</f>
        <v/>
      </c>
    </row>
    <row r="53">
      <c r="A53" s="10" t="inlineStr">
        <is>
          <t>ŌI</t>
        </is>
      </c>
      <c r="B53" s="11" t="inlineStr">
        <is>
          <t>大井</t>
        </is>
      </c>
      <c r="C53" s="12" t="inlineStr">
        <is>
          <t>CL</t>
        </is>
      </c>
      <c r="D53" s="11" t="inlineStr">
        <is>
          <t>Croiseur léger</t>
        </is>
      </c>
      <c r="E53" s="12" t="n"/>
      <c r="F53" s="12" t="n"/>
      <c r="G53" s="12" t="n">
        <v>1</v>
      </c>
      <c r="H53" s="12" t="n">
        <v>3</v>
      </c>
      <c r="I53" s="12" t="inlineStr">
        <is>
          <t>4/8</t>
        </is>
      </c>
      <c r="J53" s="11" t="inlineStr">
        <is>
          <t>CF5 (29).png</t>
        </is>
      </c>
      <c r="K53" s="12" t="n">
        <v>0</v>
      </c>
      <c r="L53" s="12" t="n">
        <v>2</v>
      </c>
      <c r="M53" s="12" t="inlineStr">
        <is>
          <t>2/4</t>
        </is>
      </c>
      <c r="N53" s="11" t="inlineStr">
        <is>
          <t>CB5 (30).png</t>
        </is>
      </c>
      <c r="O53" s="13">
        <f>IF(K53="","",IFERROR(K53-G53,"—"))</f>
        <v/>
      </c>
      <c r="P53" s="13">
        <f>IF(L53="","",IFERROR(L53-H53,"—"))</f>
        <v/>
      </c>
      <c r="Q53" s="13">
        <f>IF(M53="","",IFERROR(M53-I53,"—"))</f>
        <v/>
      </c>
    </row>
    <row r="54">
      <c r="A54" s="10" t="inlineStr">
        <is>
          <t>SENDAI</t>
        </is>
      </c>
      <c r="B54" s="11" t="inlineStr">
        <is>
          <t>川内</t>
        </is>
      </c>
      <c r="C54" s="12" t="inlineStr">
        <is>
          <t>CL</t>
        </is>
      </c>
      <c r="D54" s="11" t="inlineStr">
        <is>
          <t>Croiseur léger</t>
        </is>
      </c>
      <c r="E54" s="12" t="n"/>
      <c r="F54" s="12" t="n"/>
      <c r="G54" s="12" t="n">
        <v>1</v>
      </c>
      <c r="H54" s="12" t="n">
        <v>3</v>
      </c>
      <c r="I54" s="12" t="n">
        <v>4</v>
      </c>
      <c r="J54" s="11" t="inlineStr">
        <is>
          <t>CF5 (30).png</t>
        </is>
      </c>
      <c r="K54" s="12" t="n">
        <v>1</v>
      </c>
      <c r="L54" s="12" t="n">
        <v>3</v>
      </c>
      <c r="M54" s="12" t="n">
        <v>3</v>
      </c>
      <c r="N54" s="11" t="inlineStr">
        <is>
          <t>CB5 (29).png</t>
        </is>
      </c>
      <c r="O54" s="13">
        <f>IF(K54="","",IFERROR(K54-G54,"—"))</f>
        <v/>
      </c>
      <c r="P54" s="13">
        <f>IF(L54="","",IFERROR(L54-H54,"—"))</f>
        <v/>
      </c>
      <c r="Q54" s="13">
        <f>IF(M54="","",IFERROR(M54-I54,"—"))</f>
        <v/>
      </c>
    </row>
    <row r="55">
      <c r="A55" s="10" t="inlineStr">
        <is>
          <t>TAMA</t>
        </is>
      </c>
      <c r="B55" s="11" t="inlineStr">
        <is>
          <t>多摩</t>
        </is>
      </c>
      <c r="C55" s="12" t="inlineStr">
        <is>
          <t>CL</t>
        </is>
      </c>
      <c r="D55" s="11" t="inlineStr">
        <is>
          <t>Croiseur léger</t>
        </is>
      </c>
      <c r="E55" s="12" t="n"/>
      <c r="F55" s="12" t="n"/>
      <c r="G55" s="12" t="n">
        <v>1</v>
      </c>
      <c r="H55" s="12" t="n">
        <v>3</v>
      </c>
      <c r="I55" s="12" t="n">
        <v>4</v>
      </c>
      <c r="J55" s="11" t="inlineStr">
        <is>
          <t>C6F (1).png</t>
        </is>
      </c>
      <c r="K55" s="12" t="n">
        <v>1</v>
      </c>
      <c r="L55" s="12" t="n">
        <v>3</v>
      </c>
      <c r="M55" s="12" t="n">
        <v>3</v>
      </c>
      <c r="N55" s="11" t="inlineStr">
        <is>
          <t>CB6 (7).png</t>
        </is>
      </c>
      <c r="O55" s="13">
        <f>IF(K55="","",IFERROR(K55-G55,"—"))</f>
        <v/>
      </c>
      <c r="P55" s="13">
        <f>IF(L55="","",IFERROR(L55-H55,"—"))</f>
        <v/>
      </c>
      <c r="Q55" s="13">
        <f>IF(M55="","",IFERROR(M55-I55,"—"))</f>
        <v/>
      </c>
    </row>
    <row r="56">
      <c r="A56" s="10" t="inlineStr">
        <is>
          <t>TATSUTA</t>
        </is>
      </c>
      <c r="B56" s="11" t="inlineStr">
        <is>
          <t>龍田</t>
        </is>
      </c>
      <c r="C56" s="12" t="inlineStr">
        <is>
          <t>CL</t>
        </is>
      </c>
      <c r="D56" s="11" t="inlineStr">
        <is>
          <t>Croiseur léger</t>
        </is>
      </c>
      <c r="E56" s="12" t="n"/>
      <c r="F56" s="12" t="n"/>
      <c r="G56" s="12" t="n">
        <v>1</v>
      </c>
      <c r="H56" s="12" t="n">
        <v>3</v>
      </c>
      <c r="I56" s="12" t="n">
        <v>3</v>
      </c>
      <c r="J56" s="11" t="inlineStr">
        <is>
          <t>C6F (2).png</t>
        </is>
      </c>
      <c r="K56" s="12" t="n">
        <v>1</v>
      </c>
      <c r="L56" s="12" t="n">
        <v>2</v>
      </c>
      <c r="M56" s="12" t="n">
        <v>2</v>
      </c>
      <c r="N56" s="11" t="inlineStr">
        <is>
          <t>CB6 (6).png</t>
        </is>
      </c>
      <c r="O56" s="13">
        <f>IF(K56="","",IFERROR(K56-G56,"—"))</f>
        <v/>
      </c>
      <c r="P56" s="13">
        <f>IF(L56="","",IFERROR(L56-H56,"—"))</f>
        <v/>
      </c>
      <c r="Q56" s="13">
        <f>IF(M56="","",IFERROR(M56-I56,"—"))</f>
        <v/>
      </c>
    </row>
    <row r="57">
      <c r="A57" s="10" t="inlineStr">
        <is>
          <t>TENRYŪ</t>
        </is>
      </c>
      <c r="B57" s="11" t="inlineStr">
        <is>
          <t>天龍</t>
        </is>
      </c>
      <c r="C57" s="12" t="inlineStr">
        <is>
          <t>CL</t>
        </is>
      </c>
      <c r="D57" s="11" t="inlineStr">
        <is>
          <t>Croiseur léger</t>
        </is>
      </c>
      <c r="E57" s="12" t="n"/>
      <c r="F57" s="12" t="n"/>
      <c r="G57" s="12" t="n">
        <v>1</v>
      </c>
      <c r="H57" s="12" t="n">
        <v>3</v>
      </c>
      <c r="I57" s="12" t="n">
        <v>3</v>
      </c>
      <c r="J57" s="11" t="inlineStr">
        <is>
          <t>C6F (3).png</t>
        </is>
      </c>
      <c r="K57" s="12" t="n">
        <v>1</v>
      </c>
      <c r="L57" s="12" t="n">
        <v>2</v>
      </c>
      <c r="M57" s="12" t="n">
        <v>2</v>
      </c>
      <c r="N57" s="11" t="inlineStr">
        <is>
          <t>CB6 (5).png</t>
        </is>
      </c>
      <c r="O57" s="13">
        <f>IF(K57="","",IFERROR(K57-G57,"—"))</f>
        <v/>
      </c>
      <c r="P57" s="13">
        <f>IF(L57="","",IFERROR(L57-H57,"—"))</f>
        <v/>
      </c>
      <c r="Q57" s="13">
        <f>IF(M57="","",IFERROR(M57-I57,"—"))</f>
        <v/>
      </c>
    </row>
    <row r="58">
      <c r="A58" s="10" t="inlineStr">
        <is>
          <t>YŪBARI</t>
        </is>
      </c>
      <c r="B58" s="11" t="inlineStr">
        <is>
          <t>夕張</t>
        </is>
      </c>
      <c r="C58" s="12" t="inlineStr">
        <is>
          <t>CL</t>
        </is>
      </c>
      <c r="D58" s="11" t="inlineStr">
        <is>
          <t>Croiseur léger</t>
        </is>
      </c>
      <c r="E58" s="12" t="n"/>
      <c r="F58" s="12" t="n"/>
      <c r="G58" s="12" t="n">
        <v>1</v>
      </c>
      <c r="H58" s="12" t="n">
        <v>3</v>
      </c>
      <c r="I58" s="12" t="n">
        <v>4</v>
      </c>
      <c r="J58" s="11" t="inlineStr">
        <is>
          <t>C6F (4).png</t>
        </is>
      </c>
      <c r="K58" s="12" t="n">
        <v>1</v>
      </c>
      <c r="L58" s="12" t="n">
        <v>2</v>
      </c>
      <c r="M58" s="12" t="n">
        <v>2</v>
      </c>
      <c r="N58" s="11" t="inlineStr">
        <is>
          <t>CB6 (4).png</t>
        </is>
      </c>
      <c r="O58" s="13">
        <f>IF(K58="","",IFERROR(K58-G58,"—"))</f>
        <v/>
      </c>
      <c r="P58" s="13">
        <f>IF(L58="","",IFERROR(L58-H58,"—"))</f>
        <v/>
      </c>
      <c r="Q58" s="13">
        <f>IF(M58="","",IFERROR(M58-I58,"—"))</f>
        <v/>
      </c>
    </row>
    <row r="59">
      <c r="A59" s="10" t="inlineStr">
        <is>
          <t>YURA</t>
        </is>
      </c>
      <c r="B59" s="11" t="inlineStr">
        <is>
          <t>由良</t>
        </is>
      </c>
      <c r="C59" s="12" t="inlineStr">
        <is>
          <t>CL</t>
        </is>
      </c>
      <c r="D59" s="11" t="inlineStr">
        <is>
          <t>Croiseur léger</t>
        </is>
      </c>
      <c r="E59" s="12" t="n"/>
      <c r="F59" s="12" t="n"/>
      <c r="G59" s="12" t="n">
        <v>1</v>
      </c>
      <c r="H59" s="12" t="n">
        <v>3</v>
      </c>
      <c r="I59" s="12" t="n">
        <v>4</v>
      </c>
      <c r="J59" s="11" t="inlineStr">
        <is>
          <t>C6F (5).png</t>
        </is>
      </c>
      <c r="K59" s="12" t="n">
        <v>1</v>
      </c>
      <c r="L59" s="12" t="n">
        <v>3</v>
      </c>
      <c r="M59" s="12" t="n">
        <v>3</v>
      </c>
      <c r="N59" s="11" t="inlineStr">
        <is>
          <t>CB6 (3).png</t>
        </is>
      </c>
      <c r="O59" s="13">
        <f>IF(K59="","",IFERROR(K59-G59,"—"))</f>
        <v/>
      </c>
      <c r="P59" s="13">
        <f>IF(L59="","",IFERROR(L59-H59,"—"))</f>
        <v/>
      </c>
      <c r="Q59" s="13">
        <f>IF(M59="","",IFERROR(M59-I59,"—"))</f>
        <v/>
      </c>
    </row>
    <row r="60">
      <c r="A60" s="10" t="inlineStr">
        <is>
          <t>(destroyers)</t>
        </is>
      </c>
      <c r="B60" s="11" t="n"/>
      <c r="C60" s="12" t="inlineStr">
        <is>
          <t>DD</t>
        </is>
      </c>
      <c r="D60" s="11" t="inlineStr">
        <is>
          <t>Destroyers</t>
        </is>
      </c>
      <c r="E60" s="12" t="n"/>
      <c r="F60" s="12" t="n"/>
      <c r="G60" s="12" t="n">
        <v>1</v>
      </c>
      <c r="H60" s="12" t="n">
        <v>1</v>
      </c>
      <c r="I60" s="12" t="n">
        <v>2</v>
      </c>
      <c r="J60" s="11" t="inlineStr">
        <is>
          <t>C6F (6).png</t>
        </is>
      </c>
      <c r="K60" s="12" t="n">
        <v>0</v>
      </c>
      <c r="L60" s="12" t="n">
        <v>1</v>
      </c>
      <c r="M60" s="12" t="n">
        <v>1</v>
      </c>
      <c r="N60" s="11" t="inlineStr">
        <is>
          <t>CB6 (8).png</t>
        </is>
      </c>
      <c r="O60" s="13">
        <f>IF(K60="","",IFERROR(K60-G60,"—"))</f>
        <v/>
      </c>
      <c r="P60" s="13">
        <f>IF(L60="","",IFERROR(L60-H60,"—"))</f>
        <v/>
      </c>
      <c r="Q60" s="13">
        <f>IF(M60="","",IFERROR(M60-I60,"—"))</f>
        <v/>
      </c>
    </row>
    <row r="61">
      <c r="A61" s="10" t="inlineStr">
        <is>
          <t>(transports)</t>
        </is>
      </c>
      <c r="B61" s="11" t="n"/>
      <c r="C61" s="12" t="inlineStr">
        <is>
          <t>AK</t>
        </is>
      </c>
      <c r="D61" s="11" t="inlineStr">
        <is>
          <t>Transports</t>
        </is>
      </c>
      <c r="E61" s="12" t="n"/>
      <c r="F61" s="12" t="n"/>
      <c r="G61" s="12" t="n">
        <v>0</v>
      </c>
      <c r="H61" s="12" t="n">
        <v>1</v>
      </c>
      <c r="I61" s="12" t="n">
        <v>0</v>
      </c>
      <c r="J61" s="11" t="inlineStr">
        <is>
          <t>C6F (27).png</t>
        </is>
      </c>
      <c r="K61" s="12" t="n">
        <v>0</v>
      </c>
      <c r="L61" s="12" t="n">
        <v>1</v>
      </c>
      <c r="M61" s="12" t="n">
        <v>0</v>
      </c>
      <c r="N61" s="11" t="inlineStr">
        <is>
          <t>CB6 (29).png</t>
        </is>
      </c>
      <c r="O61" s="13">
        <f>IF(K61="","",IFERROR(K61-G61,"—"))</f>
        <v/>
      </c>
      <c r="P61" s="13">
        <f>IF(L61="","",IFERROR(L61-H61,"—"))</f>
        <v/>
      </c>
      <c r="Q61" s="13">
        <f>IF(M61="","",IFERROR(M61-I61,"—"))</f>
        <v/>
      </c>
    </row>
  </sheetData>
  <autoFilter ref="A2:Q61"/>
  <mergeCells count="4">
    <mergeCell ref="K1:N1"/>
    <mergeCell ref="A1:F1"/>
    <mergeCell ref="O1:Q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6" customWidth="1" min="4" max="4"/>
    <col width="16" customWidth="1" min="5" max="5"/>
  </cols>
  <sheetData>
    <row r="1">
      <c r="A1" s="16" t="inlineStr">
        <is>
          <t>Synthèse par type (calculée depuis l’onglet Flotte IJN)</t>
        </is>
      </c>
    </row>
    <row r="3" ht="30" customHeight="1">
      <c r="A3" s="1" t="inlineStr">
        <is>
          <t>Type</t>
        </is>
      </c>
      <c r="B3" s="1" t="inlineStr">
        <is>
          <t>Libellé</t>
        </is>
      </c>
      <c r="C3" s="1" t="inlineStr">
        <is>
          <t>Navires</t>
        </is>
      </c>
      <c r="D3" s="1" t="inlineStr">
        <is>
          <t>Faces endommagées présentes</t>
        </is>
      </c>
      <c r="E3" s="1" t="inlineStr">
        <is>
          <t>Faces endommagées manquantes</t>
        </is>
      </c>
    </row>
    <row r="4">
      <c r="A4" s="12" t="inlineStr">
        <is>
          <t>CV</t>
        </is>
      </c>
      <c r="B4" s="11" t="inlineStr">
        <is>
          <t>Porte-avions</t>
        </is>
      </c>
      <c r="C4" s="12">
        <f>COUNTIF('Flotte IJN'!$C$3:$C$61,A4)</f>
        <v/>
      </c>
      <c r="D4" s="12">
        <f>COUNTIFS('Flotte IJN'!$C$3:$C$61,A4,'Flotte IJN'!$N$3:$N$61,"&lt;&gt;face manquante")</f>
        <v/>
      </c>
      <c r="E4" s="12">
        <f>C4-D4</f>
        <v/>
      </c>
    </row>
    <row r="5">
      <c r="A5" s="12" t="inlineStr">
        <is>
          <t>CVL</t>
        </is>
      </c>
      <c r="B5" s="11" t="inlineStr">
        <is>
          <t>Porte-avions léger</t>
        </is>
      </c>
      <c r="C5" s="12">
        <f>COUNTIF('Flotte IJN'!$C$3:$C$61,A5)</f>
        <v/>
      </c>
      <c r="D5" s="12">
        <f>COUNTIFS('Flotte IJN'!$C$3:$C$61,A5,'Flotte IJN'!$N$3:$N$61,"&lt;&gt;face manquante")</f>
        <v/>
      </c>
      <c r="E5" s="12">
        <f>C5-D5</f>
        <v/>
      </c>
    </row>
    <row r="6">
      <c r="A6" s="12" t="inlineStr">
        <is>
          <t>BB</t>
        </is>
      </c>
      <c r="B6" s="11" t="inlineStr">
        <is>
          <t>Cuirassé</t>
        </is>
      </c>
      <c r="C6" s="12">
        <f>COUNTIF('Flotte IJN'!$C$3:$C$61,A6)</f>
        <v/>
      </c>
      <c r="D6" s="12">
        <f>COUNTIFS('Flotte IJN'!$C$3:$C$61,A6,'Flotte IJN'!$N$3:$N$61,"&lt;&gt;face manquante")</f>
        <v/>
      </c>
      <c r="E6" s="12">
        <f>C6-D6</f>
        <v/>
      </c>
    </row>
    <row r="7">
      <c r="A7" s="12" t="inlineStr">
        <is>
          <t>CA</t>
        </is>
      </c>
      <c r="B7" s="11" t="inlineStr">
        <is>
          <t>Croiseur lourd</t>
        </is>
      </c>
      <c r="C7" s="12">
        <f>COUNTIF('Flotte IJN'!$C$3:$C$61,A7)</f>
        <v/>
      </c>
      <c r="D7" s="12">
        <f>COUNTIFS('Flotte IJN'!$C$3:$C$61,A7,'Flotte IJN'!$N$3:$N$61,"&lt;&gt;face manquante")</f>
        <v/>
      </c>
      <c r="E7" s="12">
        <f>C7-D7</f>
        <v/>
      </c>
    </row>
    <row r="8">
      <c r="A8" s="12" t="inlineStr">
        <is>
          <t>CL</t>
        </is>
      </c>
      <c r="B8" s="11" t="inlineStr">
        <is>
          <t>Croiseur léger</t>
        </is>
      </c>
      <c r="C8" s="12">
        <f>COUNTIF('Flotte IJN'!$C$3:$C$61,A8)</f>
        <v/>
      </c>
      <c r="D8" s="12">
        <f>COUNTIFS('Flotte IJN'!$C$3:$C$61,A8,'Flotte IJN'!$N$3:$N$61,"&lt;&gt;face manquante")</f>
        <v/>
      </c>
      <c r="E8" s="12">
        <f>C8-D8</f>
        <v/>
      </c>
    </row>
    <row r="9">
      <c r="A9" s="12" t="inlineStr">
        <is>
          <t>DD</t>
        </is>
      </c>
      <c r="B9" s="11" t="inlineStr">
        <is>
          <t>Destroyers</t>
        </is>
      </c>
      <c r="C9" s="12">
        <f>COUNTIF('Flotte IJN'!$C$3:$C$61,A9)</f>
        <v/>
      </c>
      <c r="D9" s="12">
        <f>COUNTIFS('Flotte IJN'!$C$3:$C$61,A9,'Flotte IJN'!$N$3:$N$61,"&lt;&gt;face manquante")</f>
        <v/>
      </c>
      <c r="E9" s="12">
        <f>C9-D9</f>
        <v/>
      </c>
    </row>
    <row r="10">
      <c r="A10" s="12" t="inlineStr">
        <is>
          <t>AK</t>
        </is>
      </c>
      <c r="B10" s="11" t="inlineStr">
        <is>
          <t>Transports</t>
        </is>
      </c>
      <c r="C10" s="12">
        <f>COUNTIF('Flotte IJN'!$C$3:$C$61,A10)</f>
        <v/>
      </c>
      <c r="D10" s="12">
        <f>COUNTIFS('Flotte IJN'!$C$3:$C$61,A10,'Flotte IJN'!$N$3:$N$61,"&lt;&gt;face manquante")</f>
        <v/>
      </c>
      <c r="E10" s="12">
        <f>C10-D10</f>
        <v/>
      </c>
    </row>
    <row r="11">
      <c r="A11" s="17" t="inlineStr">
        <is>
          <t>Total</t>
        </is>
      </c>
      <c r="B11" s="18" t="n"/>
      <c r="C11" s="17">
        <f>SUM(C4:C10)</f>
        <v/>
      </c>
      <c r="D11" s="17">
        <f>SUM(D4:D10)</f>
        <v/>
      </c>
      <c r="E11" s="17">
        <f>SUM(E4:E10)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9" t="inlineStr">
        <is>
          <t>Lecture d’un pion</t>
        </is>
      </c>
      <c r="B1" s="20" t="n"/>
    </row>
    <row r="2">
      <c r="A2" s="21" t="inlineStr">
        <is>
          <t>Type</t>
        </is>
      </c>
      <c r="B2" s="20" t="inlineStr">
        <is>
          <t>En haut à gauche (CV, CVL, BB, CA, CL, DD, AK).</t>
        </is>
      </c>
    </row>
    <row r="3">
      <c r="A3" s="21" t="inlineStr">
        <is>
          <t>Anti-air</t>
        </is>
      </c>
      <c r="B3" s="20" t="inlineStr">
        <is>
          <t>En haut à droite.</t>
        </is>
      </c>
    </row>
    <row r="4">
      <c r="A4" s="21" t="inlineStr">
        <is>
          <t>Durabilité</t>
        </is>
      </c>
      <c r="B4" s="20" t="inlineStr">
        <is>
          <t>En bas à gauche, chiffre blanc sur fond noir.</t>
        </is>
      </c>
    </row>
    <row r="5">
      <c r="A5" s="21" t="inlineStr">
        <is>
          <t>Puissance de feu</t>
        </is>
      </c>
      <c r="B5" s="20" t="inlineStr">
        <is>
          <t>En bas à droite, chiffre noir sur fond blanc. « 4/8 » et « 2/4 » (KITAKAMI, ŌI) sont recopiés tels qu’imprimés ; l’écart n’est alors pas calculé (—).</t>
        </is>
      </c>
    </row>
    <row r="6">
      <c r="A6" s="21" t="inlineStr">
        <is>
          <t>Carrier/Base</t>
        </is>
      </c>
      <c r="B6" s="20" t="inlineStr">
        <is>
          <t>Code rouge à côté de la puissance de feu, présent seulement sur les porte-avions CV (AKA, KA, SOR, HIR, SHO, ZUI). Les CVL n’en portent pas.</t>
        </is>
      </c>
    </row>
    <row r="7">
      <c r="A7" s="21" t="inlineStr">
        <is>
          <t>⊗</t>
        </is>
      </c>
      <c r="B7" s="20" t="inlineStr">
        <is>
          <t>Symbole imprimé après « BB » sur certains cuirassés (FUSŌ, YAMASHIRO, ISE, HYŪGA, NAGATO, MUTSU, YAMATO, MUSASHI). Signification à préciser d’après la règle.</t>
        </is>
      </c>
    </row>
    <row r="8">
      <c r="A8" s="21" t="inlineStr">
        <is>
          <t>Nom japonais</t>
        </is>
      </c>
      <c r="B8" s="20" t="inlineStr">
        <is>
          <t>Kanji imprimés en haut du pion.</t>
        </is>
      </c>
    </row>
    <row r="9">
      <c r="A9" s="21" t="n"/>
      <c r="B9" s="20" t="n"/>
    </row>
    <row r="10">
      <c r="A10" s="19" t="inlineStr">
        <is>
          <t>Fichiers</t>
        </is>
      </c>
      <c r="B10" s="20" t="n"/>
    </row>
    <row r="11">
      <c r="A11" s="21" t="inlineStr">
        <is>
          <t>C6F, CF4, CF5</t>
        </is>
      </c>
      <c r="B11" s="20" t="inlineStr">
        <is>
          <t>Face indemne (indication de l’utilisateur).</t>
        </is>
      </c>
    </row>
    <row r="12">
      <c r="A12" s="21" t="inlineStr">
        <is>
          <t>CB4, CB5, CB6</t>
        </is>
      </c>
      <c r="B12" s="20" t="inlineStr">
        <is>
          <t>Face « dommages significatifs » (indication de l’utilisateur). CB6 (3) à (7) = croiseurs légers YURA, YŪBARI, TENRYŪ, TATSUTA, TAMA ; CB6 (8) = DD réduit (un seul destroyer, sert aussi de destroyer isolé) ; CB6 (29) = AK réduit.</t>
        </is>
      </c>
    </row>
    <row r="13">
      <c r="A13" s="21" t="inlineStr">
        <is>
          <t>Appariement</t>
        </is>
      </c>
      <c r="B13" s="20" t="inlineStr">
        <is>
          <t>Les numéros entre parenthèses ne relient pas les deux faces : l’appariement est fait sur le nom imprimé.</t>
        </is>
      </c>
    </row>
    <row r="14">
      <c r="A14" s="21" t="inlineStr">
        <is>
          <t>Faces manquantes</t>
        </is>
      </c>
      <c r="B14" s="20" t="inlineStr">
        <is>
          <t>1 navire n’a pas de face endommagée : JINTSŪ (CB5 (27) absent).</t>
        </is>
      </c>
    </row>
    <row r="15">
      <c r="A15" s="21" t="n"/>
      <c r="B15" s="20" t="n"/>
    </row>
    <row r="16">
      <c r="A16" s="21" t="inlineStr">
        <is>
          <t>Source</t>
        </is>
      </c>
      <c r="B16" s="20" t="inlineStr">
        <is>
          <t>Valeurs relevées à la lecture des images de public/modules/coral-sea/images/counters/ijn/fleet (117 fichiers), le 15/10/2026 ; faces réduites CB6 ajoutées le 16/10/2026. Seuls les écarts et la synthèse sont des formules.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2026-10-15T11:22:04Z</dcterms:created>
  <dcterms:modified xsi:type="dcterms:W3CDTF">2026-10-16T08:32:10Z</dcterms:modified>
</cp:coreProperties>
</file>